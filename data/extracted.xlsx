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Policies" sheetId="2" state="visible" r:id="rId2"/>
    <sheet name="Expiry Alerts (&lt;=30d)" sheetId="3" state="visible" r:id="rId3"/>
    <sheet name="By Status" sheetId="4" state="visible" r:id="rId4"/>
    <sheet name="By Insurer" sheetId="5" state="visible" r:id="rId5"/>
    <sheet name="By Policy Type" sheetId="6" state="visible" r:id="rId6"/>
    <sheet name="By Expiry Month" sheetId="7" state="visible" r:id="rId7"/>
  </sheets>
  <definedNames>
    <definedName name="_xlnm._FilterDatabase" localSheetId="1" hidden="1">'All Policies'!$A$1:$M$316</definedName>
    <definedName name="_xlnm._FilterDatabase" localSheetId="2" hidden="1">'Expiry Alerts (&lt;=30d)'!$A$1:$M$14</definedName>
    <definedName name="_xlnm._FilterDatabase" localSheetId="3" hidden="1">'By Status'!$A$1:$C$3</definedName>
    <definedName name="_xlnm._FilterDatabase" localSheetId="4" hidden="1">'By Insurer'!$A$1:$D$9</definedName>
    <definedName name="_xlnm._FilterDatabase" localSheetId="5" hidden="1">'By Policy Type'!$A$1:$D$3</definedName>
    <definedName name="_xlnm._FilterDatabase" localSheetId="6" hidden="1">'By Expiry Month'!$A$1:$B$14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E3A5F"/>
      <sz val="18"/>
    </font>
    <font>
      <name val="Calibri"/>
      <i val="1"/>
      <color rgb="0064748B"/>
      <sz val="10"/>
    </font>
    <font>
      <b val="1"/>
      <color rgb="00FFFFFF"/>
      <sz val="9"/>
    </font>
    <font>
      <b val="1"/>
      <color rgb="00FFFFFF"/>
      <sz val="22"/>
    </font>
    <font>
      <b val="1"/>
      <color rgb="001E3A5F"/>
      <sz val="9"/>
    </font>
    <font>
      <b val="1"/>
      <color rgb="001E3A5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right" vertical="center"/>
    </xf>
    <xf numFmtId="0" fontId="7" fillId="7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dxfs count="3">
    <dxf>
      <font>
        <b val="1"/>
        <color rgb="0016A34A"/>
      </font>
      <fill>
        <patternFill patternType="solid">
          <fgColor rgb="00DCFCE7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Policies by Status</a:t>
            </a:r>
          </a:p>
        </rich>
      </tx>
    </title>
    <plotArea>
      <pieChart>
        <varyColors val="1"/>
        <ser>
          <idx val="0"/>
          <order val="0"/>
          <tx>
            <strRef>
              <f>'By Status'!B1</f>
            </strRef>
          </tx>
          <spPr>
            <a:ln>
              <a:prstDash val="solid"/>
            </a:ln>
          </spPr>
          <cat>
            <numRef>
              <f>'By Status'!$A$2:$A$3</f>
            </numRef>
          </cat>
          <val>
            <numRef>
              <f>'By Status'!$B$2:$B$3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Policies by Insurer (Top 8)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Insurer'!B1</f>
            </strRef>
          </tx>
          <spPr>
            <a:ln>
              <a:prstDash val="solid"/>
            </a:ln>
          </spPr>
          <cat>
            <numRef>
              <f>'By Insurer'!$A$2:$A$9</f>
            </numRef>
          </cat>
          <val>
            <numRef>
              <f>'By Insurer'!$B$2:$B$9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Policies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Insurer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Policies Expiring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Expiry Month'!B1</f>
            </strRef>
          </tx>
          <spPr>
            <a:ln>
              <a:prstDash val="solid"/>
            </a:ln>
          </spPr>
          <cat>
            <numRef>
              <f>'By Expiry Month'!$A$2:$A$14</f>
            </numRef>
          </cat>
          <val>
            <numRef>
              <f>'By Expiry Month'!$B$2:$B$14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Policies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8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1296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7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36" customHeight="1">
      <c r="B2" s="1" t="inlineStr">
        <is>
          <t>ALT MOBILITY — INSURANCE POLICY DASHBOARD</t>
        </is>
      </c>
    </row>
    <row r="3" ht="18" customHeight="1">
      <c r="B3" s="2" t="inlineStr">
        <is>
          <t>Own Damage Policy Tracker  |  315 Policies  |  Dates auto-refresh on open</t>
        </is>
      </c>
    </row>
    <row r="5" ht="20" customHeight="1">
      <c r="B5" s="3" t="inlineStr">
        <is>
          <t>TOTAL POLICIES</t>
        </is>
      </c>
      <c r="D5" s="4" t="inlineStr">
        <is>
          <t>ACTIVE</t>
        </is>
      </c>
      <c r="F5" s="5" t="inlineStr">
        <is>
          <t>EXPIRING SOON</t>
        </is>
      </c>
      <c r="H5" s="6" t="inlineStr">
        <is>
          <t>EXPIRED</t>
        </is>
      </c>
    </row>
    <row r="6" ht="40" customHeight="1">
      <c r="B6" s="7" t="inlineStr">
        <is>
          <t>315</t>
        </is>
      </c>
      <c r="D6" s="8" t="inlineStr">
        <is>
          <t>302</t>
        </is>
      </c>
      <c r="F6" s="9" t="inlineStr">
        <is>
          <t>13</t>
        </is>
      </c>
      <c r="H6" s="10" t="inlineStr">
        <is>
          <t>0</t>
        </is>
      </c>
    </row>
    <row r="7" ht="24" customHeight="1">
      <c r="B7" s="11" t="inlineStr">
        <is>
          <t>TOTAL PREMIUM (INR)</t>
        </is>
      </c>
      <c r="D7" s="12" t="inlineStr">
        <is>
          <t>₹1,443,621.31</t>
        </is>
      </c>
    </row>
  </sheetData>
  <mergeCells count="12">
    <mergeCell ref="H5"/>
    <mergeCell ref="B7:C7"/>
    <mergeCell ref="B2:I2"/>
    <mergeCell ref="H6"/>
    <mergeCell ref="D6"/>
    <mergeCell ref="B6"/>
    <mergeCell ref="D7:I7"/>
    <mergeCell ref="B3:I3"/>
    <mergeCell ref="B5"/>
    <mergeCell ref="F6"/>
    <mergeCell ref="F5"/>
    <mergeCell ref="D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source_file</t>
        </is>
      </c>
      <c r="B1" s="13" t="inlineStr">
        <is>
          <t>vehicle_chassis_number</t>
        </is>
      </c>
      <c r="C1" s="13" t="inlineStr">
        <is>
          <t>insurance_company_name</t>
        </is>
      </c>
      <c r="D1" s="13" t="inlineStr">
        <is>
          <t>policy_number</t>
        </is>
      </c>
      <c r="E1" s="13" t="inlineStr">
        <is>
          <t>od_start_date</t>
        </is>
      </c>
      <c r="F1" s="13" t="inlineStr">
        <is>
          <t>od_end_date</t>
        </is>
      </c>
      <c r="G1" s="13" t="inlineStr">
        <is>
          <t>fire_covered</t>
        </is>
      </c>
      <c r="H1" s="13" t="inlineStr">
        <is>
          <t>damage_coverage</t>
        </is>
      </c>
      <c r="I1" s="13" t="inlineStr">
        <is>
          <t>premium_amount</t>
        </is>
      </c>
      <c r="J1" s="13" t="inlineStr">
        <is>
          <t>days_left</t>
        </is>
      </c>
      <c r="K1" s="13" t="inlineStr">
        <is>
          <t>status</t>
        </is>
      </c>
      <c r="L1" s="13" t="inlineStr">
        <is>
          <t>policy_duration</t>
        </is>
      </c>
      <c r="M1" s="13" t="inlineStr">
        <is>
          <t>policy_type</t>
        </is>
      </c>
    </row>
    <row r="2">
      <c r="A2" s="14" t="inlineStr">
        <is>
          <t>3005_O_432813851_00_B00.pdf</t>
        </is>
      </c>
      <c r="B2" s="14" t="inlineStr">
        <is>
          <t>MZTL1P10225001699</t>
        </is>
      </c>
      <c r="C2" s="14" t="inlineStr">
        <is>
          <t>ICICI Lombard General Insurance Company Limited</t>
        </is>
      </c>
      <c r="D2" s="14" t="inlineStr">
        <is>
          <t>3005/O/432813851/00/B00</t>
        </is>
      </c>
      <c r="E2" s="14" t="inlineStr">
        <is>
          <t>2026-03-13</t>
        </is>
      </c>
      <c r="F2" s="14" t="inlineStr">
        <is>
          <t>2027-03-12</t>
        </is>
      </c>
      <c r="G2" s="14" t="inlineStr">
        <is>
          <t>Yes</t>
        </is>
      </c>
      <c r="H2" s="14" t="inlineStr">
        <is>
          <t>accident, fire, explosion, self-ignition, lightning</t>
        </is>
      </c>
      <c r="I2" s="14" t="n">
        <v>1517</v>
      </c>
      <c r="J2" s="14">
        <f>IF(F2="","",IFERROR(INT(F2-TODAY()),""))</f>
        <v/>
      </c>
      <c r="K2" s="14">
        <f>IF(J2="","",IF(J2&lt;0,"Expired",IF(J2&lt;=30,"Expiring Soon","Active")))</f>
        <v/>
      </c>
      <c r="L2" s="14" t="n">
        <v>1</v>
      </c>
      <c r="M2" s="14" t="inlineStr">
        <is>
          <t>Annual</t>
        </is>
      </c>
    </row>
    <row r="3">
      <c r="A3" t="inlineStr">
        <is>
          <t>3005_O_432814775_00_B00.pdf</t>
        </is>
      </c>
      <c r="B3" t="inlineStr">
        <is>
          <t>MZTL1P10225001670</t>
        </is>
      </c>
      <c r="C3" t="inlineStr">
        <is>
          <t>ICICI Lombard General Insurance Company Limited</t>
        </is>
      </c>
      <c r="D3" t="inlineStr">
        <is>
          <t>3005/O/432814775/00/B00</t>
        </is>
      </c>
      <c r="E3" t="inlineStr">
        <is>
          <t>2026-03-13</t>
        </is>
      </c>
      <c r="F3" t="inlineStr">
        <is>
          <t>2027-03-12</t>
        </is>
      </c>
      <c r="G3" t="inlineStr">
        <is>
          <t>Yes</t>
        </is>
      </c>
      <c r="H3" t="inlineStr">
        <is>
          <t>accident, fire, explosion, self-ignition, lightning</t>
        </is>
      </c>
      <c r="I3" t="n">
        <v>1517</v>
      </c>
      <c r="J3">
        <f>IF(F3="","",IFERROR(INT(F3-TODAY()),""))</f>
        <v/>
      </c>
      <c r="K3">
        <f>IF(J3="","",IF(J3&lt;0,"Expired",IF(J3&lt;=30,"Expiring Soon","Active")))</f>
        <v/>
      </c>
      <c r="L3" t="n">
        <v>1</v>
      </c>
      <c r="M3" t="inlineStr">
        <is>
          <t>Annual</t>
        </is>
      </c>
    </row>
    <row r="4">
      <c r="A4" s="14" t="inlineStr">
        <is>
          <t>3005_O_432816449_00_B00.pdf</t>
        </is>
      </c>
      <c r="B4" s="14" t="inlineStr">
        <is>
          <t>MZTL1P10225001673</t>
        </is>
      </c>
      <c r="C4" s="14" t="inlineStr">
        <is>
          <t>ICICI Lombard General Insurance Company Limited</t>
        </is>
      </c>
      <c r="D4" s="14" t="inlineStr">
        <is>
          <t>3005/O/432816449/00/B00</t>
        </is>
      </c>
      <c r="E4" s="14" t="inlineStr">
        <is>
          <t>2026-03-13</t>
        </is>
      </c>
      <c r="F4" s="14" t="inlineStr">
        <is>
          <t>2027-03-12</t>
        </is>
      </c>
      <c r="G4" s="14" t="inlineStr">
        <is>
          <t>Yes</t>
        </is>
      </c>
      <c r="H4" s="14" t="inlineStr">
        <is>
          <t>accident, fire, explosion, self-ignition, lightning</t>
        </is>
      </c>
      <c r="I4" s="14" t="n">
        <v>1517</v>
      </c>
      <c r="J4" s="14">
        <f>IF(F4="","",IFERROR(INT(F4-TODAY()),""))</f>
        <v/>
      </c>
      <c r="K4" s="14">
        <f>IF(J4="","",IF(J4&lt;0,"Expired",IF(J4&lt;=30,"Expiring Soon","Active")))</f>
        <v/>
      </c>
      <c r="L4" s="14" t="n">
        <v>1</v>
      </c>
      <c r="M4" s="14" t="inlineStr">
        <is>
          <t>Annual</t>
        </is>
      </c>
    </row>
    <row r="5">
      <c r="A5" t="inlineStr">
        <is>
          <t>3005_O_432818667_00_B00.pdf</t>
        </is>
      </c>
      <c r="B5" t="inlineStr">
        <is>
          <t>MZTL1P10225001686</t>
        </is>
      </c>
      <c r="C5" t="inlineStr">
        <is>
          <t>ICICI Lombard General Insurance Company Limited</t>
        </is>
      </c>
      <c r="D5" t="inlineStr">
        <is>
          <t>3005/O/432818667/00/B00</t>
        </is>
      </c>
      <c r="E5" t="inlineStr">
        <is>
          <t>2026-03-13</t>
        </is>
      </c>
      <c r="F5" t="inlineStr">
        <is>
          <t>2027-03-12</t>
        </is>
      </c>
      <c r="G5" t="inlineStr">
        <is>
          <t>Yes</t>
        </is>
      </c>
      <c r="H5" t="inlineStr">
        <is>
          <t>accident, fire, explosion, self-ignition, lightning</t>
        </is>
      </c>
      <c r="I5" t="n">
        <v>1517</v>
      </c>
      <c r="J5">
        <f>IF(F5="","",IFERROR(INT(F5-TODAY()),""))</f>
        <v/>
      </c>
      <c r="K5">
        <f>IF(J5="","",IF(J5&lt;0,"Expired",IF(J5&lt;=30,"Expiring Soon","Active")))</f>
        <v/>
      </c>
      <c r="L5" t="n">
        <v>1</v>
      </c>
      <c r="M5" t="inlineStr">
        <is>
          <t>Annual</t>
        </is>
      </c>
    </row>
    <row r="6">
      <c r="A6" s="14" t="inlineStr">
        <is>
          <t>3005_O_432820544_00_B00.pdf</t>
        </is>
      </c>
      <c r="B6" s="14" t="inlineStr">
        <is>
          <t>MZTL1P10225001682</t>
        </is>
      </c>
      <c r="C6" s="14" t="inlineStr">
        <is>
          <t>ICICI Lombard General Insurance Company Limited</t>
        </is>
      </c>
      <c r="D6" s="14" t="inlineStr">
        <is>
          <t>3005/O/432820544/00/B00</t>
        </is>
      </c>
      <c r="E6" s="14" t="inlineStr">
        <is>
          <t>2026-03-13</t>
        </is>
      </c>
      <c r="F6" s="14" t="inlineStr">
        <is>
          <t>2027-03-12</t>
        </is>
      </c>
      <c r="G6" s="14" t="inlineStr">
        <is>
          <t>Yes</t>
        </is>
      </c>
      <c r="H6" s="14" t="inlineStr">
        <is>
          <t>accident, fire, explosion, self-ignition, lightning</t>
        </is>
      </c>
      <c r="I6" s="14" t="n">
        <v>1517</v>
      </c>
      <c r="J6" s="14">
        <f>IF(F6="","",IFERROR(INT(F6-TODAY()),""))</f>
        <v/>
      </c>
      <c r="K6" s="14">
        <f>IF(J6="","",IF(J6&lt;0,"Expired",IF(J6&lt;=30,"Expiring Soon","Active")))</f>
        <v/>
      </c>
      <c r="L6" s="14" t="n">
        <v>1</v>
      </c>
      <c r="M6" s="14" t="inlineStr">
        <is>
          <t>Annual</t>
        </is>
      </c>
    </row>
    <row r="7">
      <c r="A7" t="inlineStr">
        <is>
          <t>3005_O_432821736_00_B00.pdf</t>
        </is>
      </c>
      <c r="B7" t="inlineStr">
        <is>
          <t>MZTL1P10225001677</t>
        </is>
      </c>
      <c r="C7" t="inlineStr">
        <is>
          <t>ICICI Lombard General Insurance Company Limited</t>
        </is>
      </c>
      <c r="D7" t="inlineStr">
        <is>
          <t>3005/O/432821736/00/B00</t>
        </is>
      </c>
      <c r="E7" t="inlineStr">
        <is>
          <t>2026-03-13</t>
        </is>
      </c>
      <c r="F7" t="inlineStr">
        <is>
          <t>2027-03-12</t>
        </is>
      </c>
      <c r="G7" t="inlineStr">
        <is>
          <t>Yes</t>
        </is>
      </c>
      <c r="H7" t="inlineStr">
        <is>
          <t>accident, fire, explosion, self-ignition, lightning</t>
        </is>
      </c>
      <c r="I7" t="n">
        <v>1517</v>
      </c>
      <c r="J7">
        <f>IF(F7="","",IFERROR(INT(F7-TODAY()),""))</f>
        <v/>
      </c>
      <c r="K7">
        <f>IF(J7="","",IF(J7&lt;0,"Expired",IF(J7&lt;=30,"Expiring Soon","Active")))</f>
        <v/>
      </c>
      <c r="L7" t="n">
        <v>1</v>
      </c>
      <c r="M7" t="inlineStr">
        <is>
          <t>Annual</t>
        </is>
      </c>
    </row>
    <row r="8">
      <c r="A8" s="14" t="inlineStr">
        <is>
          <t>3005_O_432927583_00_B00.pdf</t>
        </is>
      </c>
      <c r="B8" s="14" t="inlineStr">
        <is>
          <t>MZTL1P10225001684</t>
        </is>
      </c>
      <c r="C8" s="14" t="inlineStr">
        <is>
          <t>ICICI Lombard General Insurance Company Limited</t>
        </is>
      </c>
      <c r="D8" s="14" t="inlineStr">
        <is>
          <t>3005/O/432927583/00/B00</t>
        </is>
      </c>
      <c r="E8" s="14" t="inlineStr">
        <is>
          <t>2026-03-14</t>
        </is>
      </c>
      <c r="F8" s="14" t="inlineStr">
        <is>
          <t>2027-03-13</t>
        </is>
      </c>
      <c r="G8" s="14" t="inlineStr">
        <is>
          <t>Yes</t>
        </is>
      </c>
      <c r="H8" s="14" t="inlineStr">
        <is>
          <t>accident, fire, explosion, self-ignition, lightning</t>
        </is>
      </c>
      <c r="I8" s="14" t="n">
        <v>1517</v>
      </c>
      <c r="J8" s="14">
        <f>IF(F8="","",IFERROR(INT(F8-TODAY()),""))</f>
        <v/>
      </c>
      <c r="K8" s="14">
        <f>IF(J8="","",IF(J8&lt;0,"Expired",IF(J8&lt;=30,"Expiring Soon","Active")))</f>
        <v/>
      </c>
      <c r="L8" s="14" t="n">
        <v>1</v>
      </c>
      <c r="M8" s="14" t="inlineStr">
        <is>
          <t>Annual</t>
        </is>
      </c>
    </row>
    <row r="9">
      <c r="A9" t="inlineStr">
        <is>
          <t>3005_O_432928173_00_B00.pdf</t>
        </is>
      </c>
      <c r="B9" t="inlineStr">
        <is>
          <t>MZTL1P10225001671</t>
        </is>
      </c>
      <c r="C9" t="inlineStr">
        <is>
          <t>ICICI Lombard General Insurance Company Limited</t>
        </is>
      </c>
      <c r="D9" t="inlineStr">
        <is>
          <t>3005/O/432928173/00/B00</t>
        </is>
      </c>
      <c r="E9" t="inlineStr">
        <is>
          <t>2026-03-14</t>
        </is>
      </c>
      <c r="F9" t="inlineStr">
        <is>
          <t>2027-03-13</t>
        </is>
      </c>
      <c r="G9" t="inlineStr">
        <is>
          <t>Yes</t>
        </is>
      </c>
      <c r="H9" t="inlineStr">
        <is>
          <t>accident, fire, explosion, self-ignition, lightning</t>
        </is>
      </c>
      <c r="I9" t="n">
        <v>1517</v>
      </c>
      <c r="J9">
        <f>IF(F9="","",IFERROR(INT(F9-TODAY()),""))</f>
        <v/>
      </c>
      <c r="K9">
        <f>IF(J9="","",IF(J9&lt;0,"Expired",IF(J9&lt;=30,"Expiring Soon","Active")))</f>
        <v/>
      </c>
      <c r="L9" t="n">
        <v>1</v>
      </c>
      <c r="M9" t="inlineStr">
        <is>
          <t>Annual</t>
        </is>
      </c>
    </row>
    <row r="10">
      <c r="A10" s="14" t="inlineStr">
        <is>
          <t>3005_O_432928824_00_B00.pdf</t>
        </is>
      </c>
      <c r="B10" s="14" t="inlineStr">
        <is>
          <t>MZTL1P10225001692</t>
        </is>
      </c>
      <c r="C10" s="14" t="inlineStr">
        <is>
          <t>ICICI Lombard General Insurance Company Limited</t>
        </is>
      </c>
      <c r="D10" s="14" t="inlineStr">
        <is>
          <t>3005/O/432928824/00/B00</t>
        </is>
      </c>
      <c r="E10" s="14" t="inlineStr">
        <is>
          <t>2026-03-14</t>
        </is>
      </c>
      <c r="F10" s="14" t="inlineStr">
        <is>
          <t>2027-03-13</t>
        </is>
      </c>
      <c r="G10" s="14" t="inlineStr">
        <is>
          <t>Yes</t>
        </is>
      </c>
      <c r="H10" s="14" t="inlineStr">
        <is>
          <t>accident, fire, explosion, self-ignition, lightning</t>
        </is>
      </c>
      <c r="I10" s="14" t="n">
        <v>1517</v>
      </c>
      <c r="J10" s="14">
        <f>IF(F10="","",IFERROR(INT(F10-TODAY()),""))</f>
        <v/>
      </c>
      <c r="K10" s="14">
        <f>IF(J10="","",IF(J10&lt;0,"Expired",IF(J10&lt;=30,"Expiring Soon","Active")))</f>
        <v/>
      </c>
      <c r="L10" s="14" t="n">
        <v>1</v>
      </c>
      <c r="M10" s="14" t="inlineStr">
        <is>
          <t>Annual</t>
        </is>
      </c>
    </row>
    <row r="11">
      <c r="A11" t="inlineStr">
        <is>
          <t>3005_O_432929220_00_B00.pdf</t>
        </is>
      </c>
      <c r="B11" t="inlineStr">
        <is>
          <t>MZTL1P10225001693</t>
        </is>
      </c>
      <c r="C11" t="inlineStr">
        <is>
          <t>ICICI Lombard General Insurance Company Limited</t>
        </is>
      </c>
      <c r="D11" t="inlineStr">
        <is>
          <t>3005/O/432929220/00/B00</t>
        </is>
      </c>
      <c r="E11" t="inlineStr">
        <is>
          <t>2026-03-14</t>
        </is>
      </c>
      <c r="F11" t="inlineStr">
        <is>
          <t>2027-03-13</t>
        </is>
      </c>
      <c r="G11" t="inlineStr">
        <is>
          <t>Yes</t>
        </is>
      </c>
      <c r="H11" t="inlineStr">
        <is>
          <t>accident, fire, explosion, self-ignition, lightning</t>
        </is>
      </c>
      <c r="I11" t="n">
        <v>1517</v>
      </c>
      <c r="J11">
        <f>IF(F11="","",IFERROR(INT(F11-TODAY()),""))</f>
        <v/>
      </c>
      <c r="K11">
        <f>IF(J11="","",IF(J11&lt;0,"Expired",IF(J11&lt;=30,"Expiring Soon","Active")))</f>
        <v/>
      </c>
      <c r="L11" t="n">
        <v>1</v>
      </c>
      <c r="M11" t="inlineStr">
        <is>
          <t>Annual</t>
        </is>
      </c>
    </row>
    <row r="12">
      <c r="A12" s="14" t="inlineStr">
        <is>
          <t>3005_O_432929776_00_B00.pdf</t>
        </is>
      </c>
      <c r="B12" s="14" t="inlineStr">
        <is>
          <t>MZTL1P10225001701</t>
        </is>
      </c>
      <c r="C12" s="14" t="inlineStr">
        <is>
          <t>ICICI Lombard General Insurance Company Limited</t>
        </is>
      </c>
      <c r="D12" s="14" t="inlineStr">
        <is>
          <t>3005/O/432929776/00/B00</t>
        </is>
      </c>
      <c r="E12" s="14" t="inlineStr">
        <is>
          <t>2026-03-14</t>
        </is>
      </c>
      <c r="F12" s="14" t="inlineStr">
        <is>
          <t>2027-03-13</t>
        </is>
      </c>
      <c r="G12" s="14" t="inlineStr">
        <is>
          <t>Yes</t>
        </is>
      </c>
      <c r="H12" s="14" t="inlineStr">
        <is>
          <t>accident, fire, explosion, self-ignition, lightning</t>
        </is>
      </c>
      <c r="I12" s="14" t="n">
        <v>1517</v>
      </c>
      <c r="J12" s="14">
        <f>IF(F12="","",IFERROR(INT(F12-TODAY()),""))</f>
        <v/>
      </c>
      <c r="K12" s="14">
        <f>IF(J12="","",IF(J12&lt;0,"Expired",IF(J12&lt;=30,"Expiring Soon","Active")))</f>
        <v/>
      </c>
      <c r="L12" s="14" t="n">
        <v>1</v>
      </c>
      <c r="M12" s="14" t="inlineStr">
        <is>
          <t>Annual</t>
        </is>
      </c>
    </row>
    <row r="13">
      <c r="A13" t="inlineStr">
        <is>
          <t>3005_O_432930065_00_B00.pdf</t>
        </is>
      </c>
      <c r="B13" t="inlineStr">
        <is>
          <t>MZTL1P10225001703</t>
        </is>
      </c>
      <c r="C13" t="inlineStr">
        <is>
          <t>ICICI Lombard General Insurance Company Limited</t>
        </is>
      </c>
      <c r="D13" t="inlineStr">
        <is>
          <t>3005/O/432930065/00/B00</t>
        </is>
      </c>
      <c r="E13" t="inlineStr">
        <is>
          <t>2026-03-14</t>
        </is>
      </c>
      <c r="F13" t="inlineStr">
        <is>
          <t>2027-03-13</t>
        </is>
      </c>
      <c r="G13" t="inlineStr">
        <is>
          <t>Yes</t>
        </is>
      </c>
      <c r="H13" t="inlineStr">
        <is>
          <t>accident, fire, explosion, self-ignition, lightning</t>
        </is>
      </c>
      <c r="I13" t="n">
        <v>1517</v>
      </c>
      <c r="J13">
        <f>IF(F13="","",IFERROR(INT(F13-TODAY()),""))</f>
        <v/>
      </c>
      <c r="K13">
        <f>IF(J13="","",IF(J13&lt;0,"Expired",IF(J13&lt;=30,"Expiring Soon","Active")))</f>
        <v/>
      </c>
      <c r="L13" t="n">
        <v>1</v>
      </c>
      <c r="M13" t="inlineStr">
        <is>
          <t>Annual</t>
        </is>
      </c>
    </row>
    <row r="14">
      <c r="A14" s="14" t="inlineStr">
        <is>
          <t>610501312510012784.pdf</t>
        </is>
      </c>
      <c r="B14" s="14" t="inlineStr">
        <is>
          <t>MD92N41SKCM639188</t>
        </is>
      </c>
      <c r="C14" s="14" t="inlineStr">
        <is>
          <t>National Insurance Company Limited</t>
        </is>
      </c>
      <c r="D14" s="14" t="inlineStr">
        <is>
          <t>610501312510012784</t>
        </is>
      </c>
      <c r="E14" s="14" t="inlineStr">
        <is>
          <t>2026-01-14</t>
        </is>
      </c>
      <c r="F14" s="14" t="inlineStr">
        <is>
          <t>2027-01-13</t>
        </is>
      </c>
      <c r="G14" s="14" t="inlineStr">
        <is>
          <t>Yes</t>
        </is>
      </c>
      <c r="H14" s="14" t="inlineStr">
        <is>
          <t>accident, fire, explosion, self-ignition, lightning, theft, burglary, flood, cyclone, storm, earthquake, landslide, riot, strike, terrorism, malicious act, transit</t>
        </is>
      </c>
      <c r="I14" s="14" t="n">
        <v>2384</v>
      </c>
      <c r="J14" s="14">
        <f>IF(F14="","",IFERROR(INT(F14-TODAY()),""))</f>
        <v/>
      </c>
      <c r="K14" s="14">
        <f>IF(J14="","",IF(J14&lt;0,"Expired",IF(J14&lt;=30,"Expiring Soon","Active")))</f>
        <v/>
      </c>
      <c r="L14" s="14" t="n">
        <v>1</v>
      </c>
      <c r="M14" s="14" t="inlineStr">
        <is>
          <t>Annual</t>
        </is>
      </c>
    </row>
    <row r="15">
      <c r="A15" t="inlineStr">
        <is>
          <t>610501312519002330.pdf</t>
        </is>
      </c>
      <c r="B15" t="inlineStr">
        <is>
          <t>P6EBE1JYH25000389</t>
        </is>
      </c>
      <c r="C15" t="inlineStr">
        <is>
          <t>National Insurance Company Limited</t>
        </is>
      </c>
      <c r="D15" t="inlineStr">
        <is>
          <t>610501312519002330</t>
        </is>
      </c>
      <c r="E15" t="inlineStr">
        <is>
          <t>2025-09-10</t>
        </is>
      </c>
      <c r="F15" t="inlineStr">
        <is>
          <t>2026-09-09</t>
        </is>
      </c>
      <c r="G15" t="inlineStr">
        <is>
          <t>Yes</t>
        </is>
      </c>
      <c r="H15" t="inlineStr">
        <is>
          <t>accident, fire, explosion, self-ignition, lightning, theft, burglary, flood, cyclone, storm, earthquake, landslide, riot, strike, terrorism, malicious act, transit</t>
        </is>
      </c>
      <c r="I15" t="n">
        <v>3391</v>
      </c>
      <c r="J15">
        <f>IF(F15="","",IFERROR(INT(F15-TODAY()),""))</f>
        <v/>
      </c>
      <c r="K15">
        <f>IF(J15="","",IF(J15&lt;0,"Expired",IF(J15&lt;=30,"Expiring Soon","Active")))</f>
        <v/>
      </c>
      <c r="L15" t="n">
        <v>1</v>
      </c>
      <c r="M15" t="inlineStr">
        <is>
          <t>Annual</t>
        </is>
      </c>
    </row>
    <row r="16">
      <c r="A16" s="14" t="inlineStr">
        <is>
          <t>610501312519002517.pdf</t>
        </is>
      </c>
      <c r="B16" s="14" t="inlineStr">
        <is>
          <t>P6EBE1JYH25000614</t>
        </is>
      </c>
      <c r="C16" s="14" t="inlineStr">
        <is>
          <t>National Insurance Company Limited</t>
        </is>
      </c>
      <c r="D16" s="14" t="inlineStr">
        <is>
          <t>610501312519002517</t>
        </is>
      </c>
      <c r="E16" s="14" t="inlineStr">
        <is>
          <t>2025-09-18</t>
        </is>
      </c>
      <c r="F16" s="14" t="inlineStr">
        <is>
          <t>2026-09-17</t>
        </is>
      </c>
      <c r="G16" s="14" t="inlineStr">
        <is>
          <t>Yes</t>
        </is>
      </c>
      <c r="H16" s="14" t="inlineStr">
        <is>
          <t>accident, fire, explosion, self-ignition, lightning, theft, burglary, flood, cyclone, storm, earthquake, landslide, riot, strike, terrorism, malicious act, transit</t>
        </is>
      </c>
      <c r="I16" s="14" t="n">
        <v>3391</v>
      </c>
      <c r="J16" s="14">
        <f>IF(F16="","",IFERROR(INT(F16-TODAY()),""))</f>
        <v/>
      </c>
      <c r="K16" s="14">
        <f>IF(J16="","",IF(J16&lt;0,"Expired",IF(J16&lt;=30,"Expiring Soon","Active")))</f>
        <v/>
      </c>
      <c r="L16" s="14" t="n">
        <v>1</v>
      </c>
      <c r="M16" s="14" t="inlineStr">
        <is>
          <t>Annual</t>
        </is>
      </c>
    </row>
    <row r="17">
      <c r="A17" t="inlineStr">
        <is>
          <t>610501312519002535.pdf</t>
        </is>
      </c>
      <c r="B17" t="inlineStr">
        <is>
          <t>P6EBE1JYH25000632</t>
        </is>
      </c>
      <c r="C17" t="inlineStr">
        <is>
          <t>National Insurance Company Limited</t>
        </is>
      </c>
      <c r="D17" t="inlineStr">
        <is>
          <t>610501312519002535</t>
        </is>
      </c>
      <c r="E17" t="inlineStr">
        <is>
          <t>2025-09-18</t>
        </is>
      </c>
      <c r="F17" t="inlineStr">
        <is>
          <t>2026-09-17</t>
        </is>
      </c>
      <c r="G17" t="inlineStr">
        <is>
          <t>Yes</t>
        </is>
      </c>
      <c r="H17" t="inlineStr">
        <is>
          <t>accident, fire, explosion, self-ignition, lightning, theft, burglary, flood, cyclone, storm, earthquake, landslide, riot, strike, terrorism, malicious act, transit</t>
        </is>
      </c>
      <c r="I17" t="n">
        <v>3391</v>
      </c>
      <c r="J17">
        <f>IF(F17="","",IFERROR(INT(F17-TODAY()),""))</f>
        <v/>
      </c>
      <c r="K17">
        <f>IF(J17="","",IF(J17&lt;0,"Expired",IF(J17&lt;=30,"Expiring Soon","Active")))</f>
        <v/>
      </c>
      <c r="L17" t="n">
        <v>1</v>
      </c>
      <c r="M17" t="inlineStr">
        <is>
          <t>Annual</t>
        </is>
      </c>
    </row>
    <row r="18">
      <c r="A18" s="14" t="inlineStr">
        <is>
          <t>610501312519002566.pdf</t>
        </is>
      </c>
      <c r="B18" s="14" t="inlineStr">
        <is>
          <t>P6EBE1JYH25000663</t>
        </is>
      </c>
      <c r="C18" s="14" t="inlineStr">
        <is>
          <t>National Insurance Company Limited</t>
        </is>
      </c>
      <c r="D18" s="14" t="inlineStr">
        <is>
          <t>610501312519002566</t>
        </is>
      </c>
      <c r="E18" s="14" t="inlineStr">
        <is>
          <t>2025-09-18</t>
        </is>
      </c>
      <c r="F18" s="14" t="inlineStr">
        <is>
          <t>2026-09-17</t>
        </is>
      </c>
      <c r="G18" s="14" t="inlineStr">
        <is>
          <t>Yes</t>
        </is>
      </c>
      <c r="H18" s="14" t="inlineStr">
        <is>
          <t>accident, fire, explosion, self-ignition, lightning, theft, burglary, flood, cyclone, storm, earthquake, landslide, riot, strike, terrorism, malicious act, transit</t>
        </is>
      </c>
      <c r="I18" s="14" t="n">
        <v>3391</v>
      </c>
      <c r="J18" s="14">
        <f>IF(F18="","",IFERROR(INT(F18-TODAY()),""))</f>
        <v/>
      </c>
      <c r="K18" s="14">
        <f>IF(J18="","",IF(J18&lt;0,"Expired",IF(J18&lt;=30,"Expiring Soon","Active")))</f>
        <v/>
      </c>
      <c r="L18" s="14" t="n">
        <v>1</v>
      </c>
      <c r="M18" s="14" t="inlineStr">
        <is>
          <t>Annual</t>
        </is>
      </c>
    </row>
    <row r="19">
      <c r="A19" t="inlineStr">
        <is>
          <t>610501312519002613.pdf</t>
        </is>
      </c>
      <c r="B19" t="inlineStr">
        <is>
          <t>P6EBE1JYH25000710</t>
        </is>
      </c>
      <c r="C19" t="inlineStr">
        <is>
          <t>National Insurance Company Limited</t>
        </is>
      </c>
      <c r="D19" t="inlineStr">
        <is>
          <t>610501312519002613</t>
        </is>
      </c>
      <c r="E19" t="inlineStr">
        <is>
          <t>2025-09-18</t>
        </is>
      </c>
      <c r="F19" t="inlineStr">
        <is>
          <t>2026-09-17</t>
        </is>
      </c>
      <c r="G19" t="inlineStr">
        <is>
          <t>Yes</t>
        </is>
      </c>
      <c r="H19" t="inlineStr">
        <is>
          <t>accident, fire, explosion, self-ignition, lightning, theft, burglary, flood, cyclone, storm, earthquake, landslide, riot, strike, terrorism, malicious act, transit</t>
        </is>
      </c>
      <c r="I19" t="n">
        <v>3391</v>
      </c>
      <c r="J19">
        <f>IF(F19="","",IFERROR(INT(F19-TODAY()),""))</f>
        <v/>
      </c>
      <c r="K19">
        <f>IF(J19="","",IF(J19&lt;0,"Expired",IF(J19&lt;=30,"Expiring Soon","Active")))</f>
        <v/>
      </c>
      <c r="L19" t="n">
        <v>1</v>
      </c>
      <c r="M19" t="inlineStr">
        <is>
          <t>Annual</t>
        </is>
      </c>
    </row>
    <row r="20">
      <c r="A20" s="14" t="inlineStr">
        <is>
          <t>610501312519002621.pdf</t>
        </is>
      </c>
      <c r="B20" s="14" t="inlineStr">
        <is>
          <t>P6EBE1JYH25000718</t>
        </is>
      </c>
      <c r="C20" s="14" t="inlineStr">
        <is>
          <t>National Insurance Company Limited</t>
        </is>
      </c>
      <c r="D20" s="14" t="inlineStr">
        <is>
          <t>610501312519002621</t>
        </is>
      </c>
      <c r="E20" s="14" t="inlineStr">
        <is>
          <t>2025-09-18</t>
        </is>
      </c>
      <c r="F20" s="14" t="inlineStr">
        <is>
          <t>2026-09-17</t>
        </is>
      </c>
      <c r="G20" s="14" t="inlineStr">
        <is>
          <t>Yes</t>
        </is>
      </c>
      <c r="H20" s="14" t="inlineStr">
        <is>
          <t>accident, fire, explosion, self-ignition, lightning, theft, burglary, flood, cyclone, storm, earthquake, landslide, riot, strike, terrorism, malicious act, transit</t>
        </is>
      </c>
      <c r="I20" s="14" t="n">
        <v>3391</v>
      </c>
      <c r="J20" s="14">
        <f>IF(F20="","",IFERROR(INT(F20-TODAY()),""))</f>
        <v/>
      </c>
      <c r="K20" s="14">
        <f>IF(J20="","",IF(J20&lt;0,"Expired",IF(J20&lt;=30,"Expiring Soon","Active")))</f>
        <v/>
      </c>
      <c r="L20" s="14" t="n">
        <v>1</v>
      </c>
      <c r="M20" s="14" t="inlineStr">
        <is>
          <t>Annual</t>
        </is>
      </c>
    </row>
    <row r="21">
      <c r="A21" t="inlineStr">
        <is>
          <t>610501312519002627.pdf</t>
        </is>
      </c>
      <c r="B21" t="inlineStr">
        <is>
          <t>P6EBE1JYH25000724</t>
        </is>
      </c>
      <c r="C21" t="inlineStr">
        <is>
          <t>National Insurance Company Limited</t>
        </is>
      </c>
      <c r="D21" t="inlineStr">
        <is>
          <t>610501312519002627</t>
        </is>
      </c>
      <c r="E21" t="inlineStr">
        <is>
          <t>2025-09-18</t>
        </is>
      </c>
      <c r="F21" t="inlineStr">
        <is>
          <t>2026-09-17</t>
        </is>
      </c>
      <c r="G21" t="inlineStr">
        <is>
          <t>Yes</t>
        </is>
      </c>
      <c r="H21" t="inlineStr">
        <is>
          <t>accident, fire, explosion, self-ignition, lightning, theft, burglary, flood, cyclone, storm, earthquake, landslide, riot, strike, terrorism, malicious act, transit</t>
        </is>
      </c>
      <c r="I21" t="n">
        <v>3391</v>
      </c>
      <c r="J21">
        <f>IF(F21="","",IFERROR(INT(F21-TODAY()),""))</f>
        <v/>
      </c>
      <c r="K21">
        <f>IF(J21="","",IF(J21&lt;0,"Expired",IF(J21&lt;=30,"Expiring Soon","Active")))</f>
        <v/>
      </c>
      <c r="L21" t="n">
        <v>1</v>
      </c>
      <c r="M21" t="inlineStr">
        <is>
          <t>Annual</t>
        </is>
      </c>
    </row>
    <row r="22">
      <c r="A22" s="14" t="inlineStr">
        <is>
          <t>610501312519002636.pdf</t>
        </is>
      </c>
      <c r="B22" s="14" t="inlineStr">
        <is>
          <t>P6EBE1JYH25000733</t>
        </is>
      </c>
      <c r="C22" s="14" t="inlineStr">
        <is>
          <t>National Insurance Company Limited</t>
        </is>
      </c>
      <c r="D22" s="14" t="inlineStr">
        <is>
          <t>610501312519002636</t>
        </is>
      </c>
      <c r="E22" s="14" t="inlineStr">
        <is>
          <t>2025-09-18</t>
        </is>
      </c>
      <c r="F22" s="14" t="inlineStr">
        <is>
          <t>2026-09-17</t>
        </is>
      </c>
      <c r="G22" s="14" t="inlineStr">
        <is>
          <t>Yes</t>
        </is>
      </c>
      <c r="H22" s="14" t="inlineStr">
        <is>
          <t>accident, fire, explosion, self-ignition, lightning, theft, burglary, flood, cyclone, storm, earthquake, landslide, riot, strike, terrorism, malicious act, transit</t>
        </is>
      </c>
      <c r="I22" s="14" t="n">
        <v>3391</v>
      </c>
      <c r="J22" s="14">
        <f>IF(F22="","",IFERROR(INT(F22-TODAY()),""))</f>
        <v/>
      </c>
      <c r="K22" s="14">
        <f>IF(J22="","",IF(J22&lt;0,"Expired",IF(J22&lt;=30,"Expiring Soon","Active")))</f>
        <v/>
      </c>
      <c r="L22" s="14" t="n">
        <v>1</v>
      </c>
      <c r="M22" s="14" t="inlineStr">
        <is>
          <t>Annual</t>
        </is>
      </c>
    </row>
    <row r="23">
      <c r="A23" t="inlineStr">
        <is>
          <t>610501312519002642.pdf</t>
        </is>
      </c>
      <c r="B23" t="inlineStr">
        <is>
          <t>P6EBE1JYH25000739</t>
        </is>
      </c>
      <c r="C23" t="inlineStr">
        <is>
          <t>National Insurance Company Limited</t>
        </is>
      </c>
      <c r="D23" t="inlineStr">
        <is>
          <t>610501312519002642</t>
        </is>
      </c>
      <c r="E23" t="inlineStr">
        <is>
          <t>2025-09-18</t>
        </is>
      </c>
      <c r="F23" t="inlineStr">
        <is>
          <t>2026-09-17</t>
        </is>
      </c>
      <c r="G23" t="inlineStr">
        <is>
          <t>Yes</t>
        </is>
      </c>
      <c r="H23" t="inlineStr">
        <is>
          <t>accident, fire, explosion, self-ignition, lightning, theft, burglary, flood, cyclone, storm, earthquake, landslide, riot, strike, terrorism, malicious act, transit</t>
        </is>
      </c>
      <c r="I23" t="n">
        <v>3391</v>
      </c>
      <c r="J23">
        <f>IF(F23="","",IFERROR(INT(F23-TODAY()),""))</f>
        <v/>
      </c>
      <c r="K23">
        <f>IF(J23="","",IF(J23&lt;0,"Expired",IF(J23&lt;=30,"Expiring Soon","Active")))</f>
        <v/>
      </c>
      <c r="L23" t="n">
        <v>1</v>
      </c>
      <c r="M23" t="inlineStr">
        <is>
          <t>Annual</t>
        </is>
      </c>
    </row>
    <row r="24">
      <c r="A24" s="14" t="inlineStr">
        <is>
          <t>610501312519002654.pdf</t>
        </is>
      </c>
      <c r="B24" s="14" t="inlineStr">
        <is>
          <t>P6EBE1JYH25000751</t>
        </is>
      </c>
      <c r="C24" s="14" t="inlineStr">
        <is>
          <t>National Insurance Company Limited</t>
        </is>
      </c>
      <c r="D24" s="14" t="inlineStr">
        <is>
          <t>610501312519002654</t>
        </is>
      </c>
      <c r="E24" s="14" t="inlineStr">
        <is>
          <t>2025-09-18</t>
        </is>
      </c>
      <c r="F24" s="14" t="inlineStr">
        <is>
          <t>2026-09-17</t>
        </is>
      </c>
      <c r="G24" s="14" t="inlineStr">
        <is>
          <t>Yes</t>
        </is>
      </c>
      <c r="H24" s="14" t="inlineStr">
        <is>
          <t>accident, fire, explosion, self-ignition, lightning, theft, burglary, flood, cyclone, storm, earthquake, landslide, riot, strike, terrorism, malicious act, transit</t>
        </is>
      </c>
      <c r="I24" s="14" t="n">
        <v>3391</v>
      </c>
      <c r="J24" s="14">
        <f>IF(F24="","",IFERROR(INT(F24-TODAY()),""))</f>
        <v/>
      </c>
      <c r="K24" s="14">
        <f>IF(J24="","",IF(J24&lt;0,"Expired",IF(J24&lt;=30,"Expiring Soon","Active")))</f>
        <v/>
      </c>
      <c r="L24" s="14" t="n">
        <v>1</v>
      </c>
      <c r="M24" s="14" t="inlineStr">
        <is>
          <t>Annual</t>
        </is>
      </c>
    </row>
    <row r="25">
      <c r="A25" t="inlineStr">
        <is>
          <t>610501312519002660.pdf</t>
        </is>
      </c>
      <c r="B25" t="inlineStr">
        <is>
          <t>P6EBE1JYH25000757</t>
        </is>
      </c>
      <c r="C25" t="inlineStr">
        <is>
          <t>National Insurance Company Limited</t>
        </is>
      </c>
      <c r="D25" t="inlineStr">
        <is>
          <t>610501312519002660</t>
        </is>
      </c>
      <c r="E25" t="inlineStr">
        <is>
          <t>2025-09-18</t>
        </is>
      </c>
      <c r="F25" t="inlineStr">
        <is>
          <t>2026-09-17</t>
        </is>
      </c>
      <c r="G25" t="inlineStr">
        <is>
          <t>Yes</t>
        </is>
      </c>
      <c r="H25" t="inlineStr">
        <is>
          <t>accident, fire, explosion, self-ignition, lightning, theft, burglary, flood, cyclone, storm, earthquake, landslide, riot, strike, terrorism, malicious act, transit</t>
        </is>
      </c>
      <c r="I25" t="n">
        <v>3391</v>
      </c>
      <c r="J25">
        <f>IF(F25="","",IFERROR(INT(F25-TODAY()),""))</f>
        <v/>
      </c>
      <c r="K25">
        <f>IF(J25="","",IF(J25&lt;0,"Expired",IF(J25&lt;=30,"Expiring Soon","Active")))</f>
        <v/>
      </c>
      <c r="L25" t="n">
        <v>1</v>
      </c>
      <c r="M25" t="inlineStr">
        <is>
          <t>Annual</t>
        </is>
      </c>
    </row>
    <row r="26">
      <c r="A26" s="14" t="inlineStr">
        <is>
          <t>610501312519002666.pdf</t>
        </is>
      </c>
      <c r="B26" s="14" t="inlineStr">
        <is>
          <t>P6EBE1JYH25000763</t>
        </is>
      </c>
      <c r="C26" s="14" t="inlineStr">
        <is>
          <t>National Insurance Company Limited</t>
        </is>
      </c>
      <c r="D26" s="14" t="inlineStr">
        <is>
          <t>610501312519002666</t>
        </is>
      </c>
      <c r="E26" s="14" t="inlineStr">
        <is>
          <t>2025-09-18</t>
        </is>
      </c>
      <c r="F26" s="14" t="inlineStr">
        <is>
          <t>2026-09-17</t>
        </is>
      </c>
      <c r="G26" s="14" t="inlineStr">
        <is>
          <t>Yes</t>
        </is>
      </c>
      <c r="H26" s="14" t="inlineStr">
        <is>
          <t>accident, fire, explosion, self-ignition, lightning, theft, burglary, flood, cyclone, storm, earthquake, landslide, riot, strike, terrorism, malicious act, transit</t>
        </is>
      </c>
      <c r="I26" s="14" t="n">
        <v>3391</v>
      </c>
      <c r="J26" s="14">
        <f>IF(F26="","",IFERROR(INT(F26-TODAY()),""))</f>
        <v/>
      </c>
      <c r="K26" s="14">
        <f>IF(J26="","",IF(J26&lt;0,"Expired",IF(J26&lt;=30,"Expiring Soon","Active")))</f>
        <v/>
      </c>
      <c r="L26" s="14" t="n">
        <v>1</v>
      </c>
      <c r="M26" s="14" t="inlineStr">
        <is>
          <t>Annual</t>
        </is>
      </c>
    </row>
    <row r="27">
      <c r="A27" t="inlineStr">
        <is>
          <t>610501312519002669.pdf</t>
        </is>
      </c>
      <c r="B27" t="inlineStr">
        <is>
          <t>P6EBE1JYH25000766</t>
        </is>
      </c>
      <c r="C27" t="inlineStr">
        <is>
          <t>National Insurance Company Limited</t>
        </is>
      </c>
      <c r="D27" t="inlineStr">
        <is>
          <t>610501312519002669</t>
        </is>
      </c>
      <c r="E27" t="inlineStr">
        <is>
          <t>2025-09-18</t>
        </is>
      </c>
      <c r="F27" t="inlineStr">
        <is>
          <t>2026-09-17</t>
        </is>
      </c>
      <c r="G27" t="inlineStr">
        <is>
          <t>Yes</t>
        </is>
      </c>
      <c r="H27" t="inlineStr">
        <is>
          <t>accident, fire, explosion, self-ignition, lightning, theft, burglary, flood, cyclone, storm, earthquake, landslide, riot, strike, terrorism, malicious act, transit</t>
        </is>
      </c>
      <c r="I27" t="n">
        <v>3391</v>
      </c>
      <c r="J27">
        <f>IF(F27="","",IFERROR(INT(F27-TODAY()),""))</f>
        <v/>
      </c>
      <c r="K27">
        <f>IF(J27="","",IF(J27&lt;0,"Expired",IF(J27&lt;=30,"Expiring Soon","Active")))</f>
        <v/>
      </c>
      <c r="L27" t="n">
        <v>1</v>
      </c>
      <c r="M27" t="inlineStr">
        <is>
          <t>Annual</t>
        </is>
      </c>
    </row>
    <row r="28">
      <c r="A28" s="14" t="inlineStr">
        <is>
          <t>610501312519002673.pdf</t>
        </is>
      </c>
      <c r="B28" s="14" t="inlineStr">
        <is>
          <t>P6EBE1JYH25000770</t>
        </is>
      </c>
      <c r="C28" s="14" t="inlineStr">
        <is>
          <t>National Insurance Company Limited</t>
        </is>
      </c>
      <c r="D28" s="14" t="inlineStr">
        <is>
          <t>610501312519002673</t>
        </is>
      </c>
      <c r="E28" s="14" t="inlineStr">
        <is>
          <t>2025-09-18</t>
        </is>
      </c>
      <c r="F28" s="14" t="inlineStr">
        <is>
          <t>2026-09-17</t>
        </is>
      </c>
      <c r="G28" s="14" t="inlineStr">
        <is>
          <t>Yes</t>
        </is>
      </c>
      <c r="H28" s="14" t="inlineStr">
        <is>
          <t>accident, fire, explosion, self-ignition, lightning, theft, burglary, flood, cyclone, storm, earthquake, landslide, riot, strike, terrorism, malicious act, transit</t>
        </is>
      </c>
      <c r="I28" s="14" t="n">
        <v>3391</v>
      </c>
      <c r="J28" s="14">
        <f>IF(F28="","",IFERROR(INT(F28-TODAY()),""))</f>
        <v/>
      </c>
      <c r="K28" s="14">
        <f>IF(J28="","",IF(J28&lt;0,"Expired",IF(J28&lt;=30,"Expiring Soon","Active")))</f>
        <v/>
      </c>
      <c r="L28" s="14" t="n">
        <v>1</v>
      </c>
      <c r="M28" s="14" t="inlineStr">
        <is>
          <t>Annual</t>
        </is>
      </c>
    </row>
    <row r="29">
      <c r="A29" t="inlineStr">
        <is>
          <t>610501312519002687.pdf</t>
        </is>
      </c>
      <c r="B29" t="inlineStr">
        <is>
          <t>P6EBE1JYH25000781</t>
        </is>
      </c>
      <c r="C29" t="inlineStr">
        <is>
          <t>National Insurance Company Limited</t>
        </is>
      </c>
      <c r="D29" t="inlineStr">
        <is>
          <t>610501312519002687</t>
        </is>
      </c>
      <c r="E29" t="inlineStr">
        <is>
          <t>2025-09-18</t>
        </is>
      </c>
      <c r="F29" t="inlineStr">
        <is>
          <t>2026-09-17</t>
        </is>
      </c>
      <c r="G29" t="inlineStr">
        <is>
          <t>Yes</t>
        </is>
      </c>
      <c r="H29" t="inlineStr">
        <is>
          <t>accident, fire, explosion, self-ignition, lightning, theft, burglary, flood, cyclone, storm, earthquake, landslide, riot, strike, terrorism, malicious act, transit</t>
        </is>
      </c>
      <c r="I29" t="n">
        <v>3391</v>
      </c>
      <c r="J29">
        <f>IF(F29="","",IFERROR(INT(F29-TODAY()),""))</f>
        <v/>
      </c>
      <c r="K29">
        <f>IF(J29="","",IF(J29&lt;0,"Expired",IF(J29&lt;=30,"Expiring Soon","Active")))</f>
        <v/>
      </c>
      <c r="L29" t="n">
        <v>1</v>
      </c>
      <c r="M29" t="inlineStr">
        <is>
          <t>Annual</t>
        </is>
      </c>
    </row>
    <row r="30">
      <c r="A30" s="14" t="inlineStr">
        <is>
          <t>610501312519002690.pdf</t>
        </is>
      </c>
      <c r="B30" s="14" t="inlineStr">
        <is>
          <t>P6EBE1JYH25000784</t>
        </is>
      </c>
      <c r="C30" s="14" t="inlineStr">
        <is>
          <t>National Insurance Company Limited</t>
        </is>
      </c>
      <c r="D30" s="14" t="inlineStr">
        <is>
          <t>610501312519002690</t>
        </is>
      </c>
      <c r="E30" s="14" t="inlineStr">
        <is>
          <t>2025-09-18</t>
        </is>
      </c>
      <c r="F30" s="14" t="inlineStr">
        <is>
          <t>2026-09-17</t>
        </is>
      </c>
      <c r="G30" s="14" t="inlineStr">
        <is>
          <t>Yes</t>
        </is>
      </c>
      <c r="H30" s="14" t="inlineStr">
        <is>
          <t>accident, fire, explosion, self-ignition, lightning, theft, burglary, flood, cyclone, storm, earthquake, landslide, riot, strike, terrorism, malicious act, transit</t>
        </is>
      </c>
      <c r="I30" s="14" t="n">
        <v>3391</v>
      </c>
      <c r="J30" s="14">
        <f>IF(F30="","",IFERROR(INT(F30-TODAY()),""))</f>
        <v/>
      </c>
      <c r="K30" s="14">
        <f>IF(J30="","",IF(J30&lt;0,"Expired",IF(J30&lt;=30,"Expiring Soon","Active")))</f>
        <v/>
      </c>
      <c r="L30" s="14" t="n">
        <v>1</v>
      </c>
      <c r="M30" s="14" t="inlineStr">
        <is>
          <t>Annual</t>
        </is>
      </c>
    </row>
    <row r="31">
      <c r="A31" t="inlineStr">
        <is>
          <t>610501312519002693.pdf</t>
        </is>
      </c>
      <c r="B31" t="inlineStr">
        <is>
          <t>P6EBE1JYH25000787</t>
        </is>
      </c>
      <c r="C31" t="inlineStr">
        <is>
          <t>National Insurance Company Limited</t>
        </is>
      </c>
      <c r="D31" t="inlineStr">
        <is>
          <t>610501312519002693</t>
        </is>
      </c>
      <c r="E31" t="inlineStr">
        <is>
          <t>2025-09-18</t>
        </is>
      </c>
      <c r="F31" t="inlineStr">
        <is>
          <t>2026-09-17</t>
        </is>
      </c>
      <c r="G31" t="inlineStr">
        <is>
          <t>Yes</t>
        </is>
      </c>
      <c r="H31" t="inlineStr">
        <is>
          <t>accident, fire, explosion, self-ignition, lightning, theft, burglary, flood, cyclone, storm, earthquake, landslide, riot, strike, terrorism, malicious act, transit</t>
        </is>
      </c>
      <c r="I31" t="n">
        <v>3391</v>
      </c>
      <c r="J31">
        <f>IF(F31="","",IFERROR(INT(F31-TODAY()),""))</f>
        <v/>
      </c>
      <c r="K31">
        <f>IF(J31="","",IF(J31&lt;0,"Expired",IF(J31&lt;=30,"Expiring Soon","Active")))</f>
        <v/>
      </c>
      <c r="L31" t="n">
        <v>1</v>
      </c>
      <c r="M31" t="inlineStr">
        <is>
          <t>Annual</t>
        </is>
      </c>
    </row>
    <row r="32">
      <c r="A32" s="14" t="inlineStr">
        <is>
          <t>610501312519002698.pdf</t>
        </is>
      </c>
      <c r="B32" s="14" t="inlineStr">
        <is>
          <t>P6EBE1JYH25000791</t>
        </is>
      </c>
      <c r="C32" s="14" t="inlineStr">
        <is>
          <t>National Insurance Company Limited</t>
        </is>
      </c>
      <c r="D32" s="14" t="inlineStr">
        <is>
          <t>610501312519002698</t>
        </is>
      </c>
      <c r="E32" s="14" t="inlineStr">
        <is>
          <t>2025-09-18</t>
        </is>
      </c>
      <c r="F32" s="14" t="inlineStr">
        <is>
          <t>2026-09-17</t>
        </is>
      </c>
      <c r="G32" s="14" t="inlineStr">
        <is>
          <t>Yes</t>
        </is>
      </c>
      <c r="H32" s="14" t="inlineStr">
        <is>
          <t>accident, fire, explosion, self-ignition, lightning, theft, burglary, flood, cyclone, storm, earthquake, landslide, riot, strike, terrorism, malicious act, transit</t>
        </is>
      </c>
      <c r="I32" s="14" t="n">
        <v>3391</v>
      </c>
      <c r="J32" s="14">
        <f>IF(F32="","",IFERROR(INT(F32-TODAY()),""))</f>
        <v/>
      </c>
      <c r="K32" s="14">
        <f>IF(J32="","",IF(J32&lt;0,"Expired",IF(J32&lt;=30,"Expiring Soon","Active")))</f>
        <v/>
      </c>
      <c r="L32" s="14" t="n">
        <v>1</v>
      </c>
      <c r="M32" s="14" t="inlineStr">
        <is>
          <t>Annual</t>
        </is>
      </c>
    </row>
    <row r="33">
      <c r="A33" t="inlineStr">
        <is>
          <t>610501312519002702.pdf</t>
        </is>
      </c>
      <c r="B33" t="inlineStr">
        <is>
          <t>P6EBE1JYH25000795</t>
        </is>
      </c>
      <c r="C33" t="inlineStr">
        <is>
          <t>National Insurance Company Limited</t>
        </is>
      </c>
      <c r="D33" t="inlineStr">
        <is>
          <t>610501312519002702</t>
        </is>
      </c>
      <c r="E33" t="inlineStr">
        <is>
          <t>2025-09-18</t>
        </is>
      </c>
      <c r="F33" t="inlineStr">
        <is>
          <t>2026-09-17</t>
        </is>
      </c>
      <c r="G33" t="inlineStr">
        <is>
          <t>Yes</t>
        </is>
      </c>
      <c r="H33" t="inlineStr">
        <is>
          <t>accident, fire, explosion, self-ignition, lightning, theft, burglary, flood, cyclone, storm, earthquake, landslide, riot, strike, terrorism, malicious act, transit</t>
        </is>
      </c>
      <c r="I33" t="n">
        <v>3391</v>
      </c>
      <c r="J33">
        <f>IF(F33="","",IFERROR(INT(F33-TODAY()),""))</f>
        <v/>
      </c>
      <c r="K33">
        <f>IF(J33="","",IF(J33&lt;0,"Expired",IF(J33&lt;=30,"Expiring Soon","Active")))</f>
        <v/>
      </c>
      <c r="L33" t="n">
        <v>1</v>
      </c>
      <c r="M33" t="inlineStr">
        <is>
          <t>Annual</t>
        </is>
      </c>
    </row>
    <row r="34">
      <c r="A34" s="14" t="inlineStr">
        <is>
          <t>610501312519002705.pdf</t>
        </is>
      </c>
      <c r="B34" s="14" t="inlineStr">
        <is>
          <t>P6EBE1JYH25000798</t>
        </is>
      </c>
      <c r="C34" s="14" t="inlineStr">
        <is>
          <t>National Insurance Company Limited</t>
        </is>
      </c>
      <c r="D34" s="14" t="inlineStr">
        <is>
          <t>610501312519002705</t>
        </is>
      </c>
      <c r="E34" s="14" t="inlineStr">
        <is>
          <t>2025-09-18</t>
        </is>
      </c>
      <c r="F34" s="14" t="inlineStr">
        <is>
          <t>2026-09-17</t>
        </is>
      </c>
      <c r="G34" s="14" t="inlineStr">
        <is>
          <t>Yes</t>
        </is>
      </c>
      <c r="H34" s="14" t="inlineStr">
        <is>
          <t>accident, fire, explosion, self-ignition, lightning, theft, burglary, flood, cyclone, storm, earthquake, landslide, riot, strike, terrorism, malicious act, transit</t>
        </is>
      </c>
      <c r="I34" s="14" t="n">
        <v>3391</v>
      </c>
      <c r="J34" s="14">
        <f>IF(F34="","",IFERROR(INT(F34-TODAY()),""))</f>
        <v/>
      </c>
      <c r="K34" s="14">
        <f>IF(J34="","",IF(J34&lt;0,"Expired",IF(J34&lt;=30,"Expiring Soon","Active")))</f>
        <v/>
      </c>
      <c r="L34" s="14" t="n">
        <v>1</v>
      </c>
      <c r="M34" s="14" t="inlineStr">
        <is>
          <t>Annual</t>
        </is>
      </c>
    </row>
    <row r="35">
      <c r="A35" t="inlineStr">
        <is>
          <t>610501312519002709.pdf</t>
        </is>
      </c>
      <c r="B35" t="inlineStr">
        <is>
          <t>P6EBE1JYH25000802</t>
        </is>
      </c>
      <c r="C35" t="inlineStr">
        <is>
          <t>National Insurance Company Limited</t>
        </is>
      </c>
      <c r="D35" t="inlineStr">
        <is>
          <t>610501312519002709</t>
        </is>
      </c>
      <c r="E35" t="inlineStr">
        <is>
          <t>2025-09-18</t>
        </is>
      </c>
      <c r="F35" t="inlineStr">
        <is>
          <t>2026-09-17</t>
        </is>
      </c>
      <c r="G35" t="inlineStr">
        <is>
          <t>Yes</t>
        </is>
      </c>
      <c r="H35" t="inlineStr">
        <is>
          <t>accident, fire, explosion, self-ignition, lightning, theft, burglary, flood, cyclone, storm, earthquake, landslide, riot, strike, terrorism, malicious act, transit</t>
        </is>
      </c>
      <c r="I35" t="n">
        <v>3391</v>
      </c>
      <c r="J35">
        <f>IF(F35="","",IFERROR(INT(F35-TODAY()),""))</f>
        <v/>
      </c>
      <c r="K35">
        <f>IF(J35="","",IF(J35&lt;0,"Expired",IF(J35&lt;=30,"Expiring Soon","Active")))</f>
        <v/>
      </c>
      <c r="L35" t="n">
        <v>1</v>
      </c>
      <c r="M35" t="inlineStr">
        <is>
          <t>Annual</t>
        </is>
      </c>
    </row>
    <row r="36">
      <c r="A36" s="14" t="inlineStr">
        <is>
          <t>610501312519002712.pdf</t>
        </is>
      </c>
      <c r="B36" s="14" t="inlineStr">
        <is>
          <t>P6EBE1JYH25000805</t>
        </is>
      </c>
      <c r="C36" s="14" t="inlineStr">
        <is>
          <t>National Insurance Company Limited</t>
        </is>
      </c>
      <c r="D36" s="14" t="inlineStr">
        <is>
          <t>610501312519002712</t>
        </is>
      </c>
      <c r="E36" s="14" t="inlineStr">
        <is>
          <t>2025-09-18</t>
        </is>
      </c>
      <c r="F36" s="14" t="inlineStr">
        <is>
          <t>2026-09-17</t>
        </is>
      </c>
      <c r="G36" s="14" t="inlineStr">
        <is>
          <t>Yes</t>
        </is>
      </c>
      <c r="H36" s="14" t="inlineStr">
        <is>
          <t>accident, fire, explosion, self-ignition, lightning, theft, burglary, flood, cyclone, storm, earthquake, landslide, riot, strike, terrorism, malicious act, transit</t>
        </is>
      </c>
      <c r="I36" s="14" t="n">
        <v>3391</v>
      </c>
      <c r="J36" s="14">
        <f>IF(F36="","",IFERROR(INT(F36-TODAY()),""))</f>
        <v/>
      </c>
      <c r="K36" s="14">
        <f>IF(J36="","",IF(J36&lt;0,"Expired",IF(J36&lt;=30,"Expiring Soon","Active")))</f>
        <v/>
      </c>
      <c r="L36" s="14" t="n">
        <v>1</v>
      </c>
      <c r="M36" s="14" t="inlineStr">
        <is>
          <t>Annual</t>
        </is>
      </c>
    </row>
    <row r="37">
      <c r="A37" t="inlineStr">
        <is>
          <t>610501312519002714.pdf</t>
        </is>
      </c>
      <c r="B37" t="inlineStr">
        <is>
          <t>P6EBE1JYH25000807</t>
        </is>
      </c>
      <c r="C37" t="inlineStr">
        <is>
          <t>National Insurance Company Limited</t>
        </is>
      </c>
      <c r="D37" t="inlineStr">
        <is>
          <t>610501312519002714</t>
        </is>
      </c>
      <c r="E37" t="inlineStr">
        <is>
          <t>2025-09-18</t>
        </is>
      </c>
      <c r="F37" t="inlineStr">
        <is>
          <t>2026-09-17</t>
        </is>
      </c>
      <c r="G37" t="inlineStr">
        <is>
          <t>Yes</t>
        </is>
      </c>
      <c r="H37" t="inlineStr">
        <is>
          <t>accident, fire, explosion, self-ignition, lightning, theft, burglary, flood, cyclone, storm, earthquake, landslide, riot, strike, terrorism, malicious act, transit</t>
        </is>
      </c>
      <c r="I37" t="n">
        <v>3391</v>
      </c>
      <c r="J37">
        <f>IF(F37="","",IFERROR(INT(F37-TODAY()),""))</f>
        <v/>
      </c>
      <c r="K37">
        <f>IF(J37="","",IF(J37&lt;0,"Expired",IF(J37&lt;=30,"Expiring Soon","Active")))</f>
        <v/>
      </c>
      <c r="L37" t="n">
        <v>1</v>
      </c>
      <c r="M37" t="inlineStr">
        <is>
          <t>Annual</t>
        </is>
      </c>
    </row>
    <row r="38">
      <c r="A38" s="14" t="inlineStr">
        <is>
          <t>610501312519002717.pdf</t>
        </is>
      </c>
      <c r="B38" s="14" t="inlineStr">
        <is>
          <t>P6EBE1JYH25000810</t>
        </is>
      </c>
      <c r="C38" s="14" t="inlineStr">
        <is>
          <t>National Insurance Company Limited</t>
        </is>
      </c>
      <c r="D38" s="14" t="inlineStr">
        <is>
          <t>610501312519002717</t>
        </is>
      </c>
      <c r="E38" s="14" t="inlineStr">
        <is>
          <t>2025-09-18</t>
        </is>
      </c>
      <c r="F38" s="14" t="inlineStr">
        <is>
          <t>2026-09-17</t>
        </is>
      </c>
      <c r="G38" s="14" t="inlineStr">
        <is>
          <t>Yes</t>
        </is>
      </c>
      <c r="H38" s="14" t="inlineStr">
        <is>
          <t>accident, fire, explosion, self-ignition, lightning, theft, burglary, flood, cyclone, storm, earthquake, landslide, riot, strike, terrorism, malicious act, transit</t>
        </is>
      </c>
      <c r="I38" s="14" t="n">
        <v>3391</v>
      </c>
      <c r="J38" s="14">
        <f>IF(F38="","",IFERROR(INT(F38-TODAY()),""))</f>
        <v/>
      </c>
      <c r="K38" s="14">
        <f>IF(J38="","",IF(J38&lt;0,"Expired",IF(J38&lt;=30,"Expiring Soon","Active")))</f>
        <v/>
      </c>
      <c r="L38" s="14" t="n">
        <v>1</v>
      </c>
      <c r="M38" s="14" t="inlineStr">
        <is>
          <t>Annual</t>
        </is>
      </c>
    </row>
    <row r="39">
      <c r="A39" t="inlineStr">
        <is>
          <t>610501312519002721.pdf</t>
        </is>
      </c>
      <c r="B39" t="inlineStr">
        <is>
          <t>P6EBE1JYH25000814</t>
        </is>
      </c>
      <c r="C39" t="inlineStr">
        <is>
          <t>National Insurance Company Limited</t>
        </is>
      </c>
      <c r="D39" t="inlineStr">
        <is>
          <t>610501312519002721</t>
        </is>
      </c>
      <c r="E39" t="inlineStr">
        <is>
          <t>2025-09-19</t>
        </is>
      </c>
      <c r="F39" t="inlineStr">
        <is>
          <t>2026-09-18</t>
        </is>
      </c>
      <c r="G39" t="inlineStr">
        <is>
          <t>Yes</t>
        </is>
      </c>
      <c r="H39" t="inlineStr">
        <is>
          <t>accident, fire, explosion, self-ignition, lightning, theft, burglary, flood, cyclone, storm, earthquake, landslide, riot, strike, terrorism, malicious act, transit</t>
        </is>
      </c>
      <c r="I39" t="n">
        <v>3391</v>
      </c>
      <c r="J39">
        <f>IF(F39="","",IFERROR(INT(F39-TODAY()),""))</f>
        <v/>
      </c>
      <c r="K39">
        <f>IF(J39="","",IF(J39&lt;0,"Expired",IF(J39&lt;=30,"Expiring Soon","Active")))</f>
        <v/>
      </c>
      <c r="L39" t="n">
        <v>1</v>
      </c>
      <c r="M39" t="inlineStr">
        <is>
          <t>Annual</t>
        </is>
      </c>
    </row>
    <row r="40">
      <c r="A40" s="14" t="inlineStr">
        <is>
          <t>610501312519002723.pdf</t>
        </is>
      </c>
      <c r="B40" s="14" t="inlineStr">
        <is>
          <t>P6EBE1JYH25000816</t>
        </is>
      </c>
      <c r="C40" s="14" t="inlineStr">
        <is>
          <t>National Insurance Company Limited</t>
        </is>
      </c>
      <c r="D40" s="14" t="inlineStr">
        <is>
          <t>610501312519002723</t>
        </is>
      </c>
      <c r="E40" s="14" t="inlineStr">
        <is>
          <t>2025-09-19</t>
        </is>
      </c>
      <c r="F40" s="14" t="inlineStr">
        <is>
          <t>2026-09-18</t>
        </is>
      </c>
      <c r="G40" s="14" t="inlineStr">
        <is>
          <t>Yes</t>
        </is>
      </c>
      <c r="H40" s="14" t="inlineStr">
        <is>
          <t>accident, fire, explosion, self-ignition, lightning, theft, burglary, flood, cyclone, storm, earthquake, landslide, riot, strike, terrorism, malicious act, transit</t>
        </is>
      </c>
      <c r="I40" s="14" t="n">
        <v>3391</v>
      </c>
      <c r="J40" s="14">
        <f>IF(F40="","",IFERROR(INT(F40-TODAY()),""))</f>
        <v/>
      </c>
      <c r="K40" s="14">
        <f>IF(J40="","",IF(J40&lt;0,"Expired",IF(J40&lt;=30,"Expiring Soon","Active")))</f>
        <v/>
      </c>
      <c r="L40" s="14" t="n">
        <v>1</v>
      </c>
      <c r="M40" s="14" t="inlineStr">
        <is>
          <t>Annual</t>
        </is>
      </c>
    </row>
    <row r="41">
      <c r="A41" t="inlineStr">
        <is>
          <t>610501312519002725.pdf</t>
        </is>
      </c>
      <c r="B41" t="inlineStr">
        <is>
          <t>P6EBE1JYH25000818</t>
        </is>
      </c>
      <c r="C41" t="inlineStr">
        <is>
          <t>National Insurance Company Limited</t>
        </is>
      </c>
      <c r="D41" t="inlineStr">
        <is>
          <t>610501312519002725</t>
        </is>
      </c>
      <c r="E41" t="inlineStr">
        <is>
          <t>2025-09-19</t>
        </is>
      </c>
      <c r="F41" t="inlineStr">
        <is>
          <t>2026-09-18</t>
        </is>
      </c>
      <c r="G41" t="inlineStr">
        <is>
          <t>Yes</t>
        </is>
      </c>
      <c r="H41" t="inlineStr">
        <is>
          <t>accident, fire, explosion, self-ignition, lightning, theft, burglary, flood, cyclone, storm, earthquake, landslide, riot, strike, terrorism, malicious act, transit</t>
        </is>
      </c>
      <c r="I41" t="n">
        <v>3391</v>
      </c>
      <c r="J41">
        <f>IF(F41="","",IFERROR(INT(F41-TODAY()),""))</f>
        <v/>
      </c>
      <c r="K41">
        <f>IF(J41="","",IF(J41&lt;0,"Expired",IF(J41&lt;=30,"Expiring Soon","Active")))</f>
        <v/>
      </c>
      <c r="L41" t="n">
        <v>1</v>
      </c>
      <c r="M41" t="inlineStr">
        <is>
          <t>Annual</t>
        </is>
      </c>
    </row>
    <row r="42">
      <c r="A42" s="14" t="inlineStr">
        <is>
          <t>610501312519002728.pdf</t>
        </is>
      </c>
      <c r="B42" s="14" t="inlineStr">
        <is>
          <t>P6EBE1JYH25000821</t>
        </is>
      </c>
      <c r="C42" s="14" t="inlineStr">
        <is>
          <t>National Insurance Company Limited</t>
        </is>
      </c>
      <c r="D42" s="14" t="inlineStr">
        <is>
          <t>610501312519002728</t>
        </is>
      </c>
      <c r="E42" s="14" t="inlineStr">
        <is>
          <t>2025-09-19</t>
        </is>
      </c>
      <c r="F42" s="14" t="inlineStr">
        <is>
          <t>2026-09-18</t>
        </is>
      </c>
      <c r="G42" s="14" t="inlineStr">
        <is>
          <t>Yes</t>
        </is>
      </c>
      <c r="H42" s="14" t="inlineStr">
        <is>
          <t>accident, fire, explosion, self-ignition, lightning, theft, burglary, flood, cyclone, storm, earthquake, landslide, riot, strike, terrorism, malicious act, transit</t>
        </is>
      </c>
      <c r="I42" s="14" t="n">
        <v>3391</v>
      </c>
      <c r="J42" s="14">
        <f>IF(F42="","",IFERROR(INT(F42-TODAY()),""))</f>
        <v/>
      </c>
      <c r="K42" s="14">
        <f>IF(J42="","",IF(J42&lt;0,"Expired",IF(J42&lt;=30,"Expiring Soon","Active")))</f>
        <v/>
      </c>
      <c r="L42" s="14" t="n">
        <v>1</v>
      </c>
      <c r="M42" s="14" t="inlineStr">
        <is>
          <t>Annual</t>
        </is>
      </c>
    </row>
    <row r="43">
      <c r="A43" t="inlineStr">
        <is>
          <t>610501312519002733.pdf</t>
        </is>
      </c>
      <c r="B43" t="inlineStr">
        <is>
          <t>P6EBE1JYH25000826</t>
        </is>
      </c>
      <c r="C43" t="inlineStr">
        <is>
          <t>National Insurance Company Limited</t>
        </is>
      </c>
      <c r="D43" t="inlineStr">
        <is>
          <t>610501312519002733</t>
        </is>
      </c>
      <c r="E43" t="inlineStr">
        <is>
          <t>2025-09-19</t>
        </is>
      </c>
      <c r="F43" t="inlineStr">
        <is>
          <t>2026-09-18</t>
        </is>
      </c>
      <c r="G43" t="inlineStr">
        <is>
          <t>Yes</t>
        </is>
      </c>
      <c r="H43" t="inlineStr">
        <is>
          <t>accident, fire, explosion, self-ignition, lightning, theft, burglary, flood, cyclone, storm, earthquake, landslide, riot, strike, terrorism, malicious act, transit</t>
        </is>
      </c>
      <c r="I43" t="n">
        <v>3391</v>
      </c>
      <c r="J43">
        <f>IF(F43="","",IFERROR(INT(F43-TODAY()),""))</f>
        <v/>
      </c>
      <c r="K43">
        <f>IF(J43="","",IF(J43&lt;0,"Expired",IF(J43&lt;=30,"Expiring Soon","Active")))</f>
        <v/>
      </c>
      <c r="L43" t="n">
        <v>1</v>
      </c>
      <c r="M43" t="inlineStr">
        <is>
          <t>Annual</t>
        </is>
      </c>
    </row>
    <row r="44">
      <c r="A44" s="14" t="inlineStr">
        <is>
          <t>610501312519002735.pdf</t>
        </is>
      </c>
      <c r="B44" s="14" t="inlineStr">
        <is>
          <t>P6EBE1JYH25000828</t>
        </is>
      </c>
      <c r="C44" s="14" t="inlineStr">
        <is>
          <t>National Insurance Company Limited</t>
        </is>
      </c>
      <c r="D44" s="14" t="inlineStr">
        <is>
          <t>610501312519002735</t>
        </is>
      </c>
      <c r="E44" s="14" t="inlineStr">
        <is>
          <t>2025-09-19</t>
        </is>
      </c>
      <c r="F44" s="14" t="inlineStr">
        <is>
          <t>2026-09-18</t>
        </is>
      </c>
      <c r="G44" s="14" t="inlineStr">
        <is>
          <t>Yes</t>
        </is>
      </c>
      <c r="H44" s="14" t="inlineStr">
        <is>
          <t>accident, fire, explosion, self-ignition, lightning, theft, burglary, flood, cyclone, storm, earthquake, landslide, riot, strike, terrorism, malicious act, transit</t>
        </is>
      </c>
      <c r="I44" s="14" t="n">
        <v>3391</v>
      </c>
      <c r="J44" s="14">
        <f>IF(F44="","",IFERROR(INT(F44-TODAY()),""))</f>
        <v/>
      </c>
      <c r="K44" s="14">
        <f>IF(J44="","",IF(J44&lt;0,"Expired",IF(J44&lt;=30,"Expiring Soon","Active")))</f>
        <v/>
      </c>
      <c r="L44" s="14" t="n">
        <v>1</v>
      </c>
      <c r="M44" s="14" t="inlineStr">
        <is>
          <t>Annual</t>
        </is>
      </c>
    </row>
    <row r="45">
      <c r="A45" t="inlineStr">
        <is>
          <t>610501312519002737.pdf</t>
        </is>
      </c>
      <c r="B45" t="inlineStr">
        <is>
          <t>P6EBE1JYH25000830</t>
        </is>
      </c>
      <c r="C45" t="inlineStr">
        <is>
          <t>National Insurance Company Limited</t>
        </is>
      </c>
      <c r="D45" t="inlineStr">
        <is>
          <t>610501312519002737</t>
        </is>
      </c>
      <c r="E45" t="inlineStr">
        <is>
          <t>2025-09-19</t>
        </is>
      </c>
      <c r="F45" t="inlineStr">
        <is>
          <t>2026-09-18</t>
        </is>
      </c>
      <c r="G45" t="inlineStr">
        <is>
          <t>Yes</t>
        </is>
      </c>
      <c r="H45" t="inlineStr">
        <is>
          <t>accident, fire, explosion, self-ignition, lightning, theft, burglary, flood, cyclone, storm, earthquake, landslide, riot, strike, terrorism, malicious act, transit</t>
        </is>
      </c>
      <c r="I45" t="n">
        <v>3391</v>
      </c>
      <c r="J45">
        <f>IF(F45="","",IFERROR(INT(F45-TODAY()),""))</f>
        <v/>
      </c>
      <c r="K45">
        <f>IF(J45="","",IF(J45&lt;0,"Expired",IF(J45&lt;=30,"Expiring Soon","Active")))</f>
        <v/>
      </c>
      <c r="L45" t="n">
        <v>1</v>
      </c>
      <c r="M45" t="inlineStr">
        <is>
          <t>Annual</t>
        </is>
      </c>
    </row>
    <row r="46">
      <c r="A46" s="14" t="inlineStr">
        <is>
          <t>610501312519002740.pdf</t>
        </is>
      </c>
      <c r="B46" s="14" t="inlineStr">
        <is>
          <t>P6EBE1JYH25000833</t>
        </is>
      </c>
      <c r="C46" s="14" t="inlineStr">
        <is>
          <t>National Insurance Company Limited</t>
        </is>
      </c>
      <c r="D46" s="14" t="inlineStr">
        <is>
          <t>610501312519002740</t>
        </is>
      </c>
      <c r="E46" s="14" t="inlineStr">
        <is>
          <t>2025-09-19</t>
        </is>
      </c>
      <c r="F46" s="14" t="inlineStr">
        <is>
          <t>2026-09-18</t>
        </is>
      </c>
      <c r="G46" s="14" t="inlineStr">
        <is>
          <t>Yes</t>
        </is>
      </c>
      <c r="H46" s="14" t="inlineStr">
        <is>
          <t>accident, fire, explosion, self-ignition, lightning, theft, burglary, flood, cyclone, storm, earthquake, landslide, riot, strike, terrorism, malicious act, transit</t>
        </is>
      </c>
      <c r="I46" s="14" t="n">
        <v>3391</v>
      </c>
      <c r="J46" s="14">
        <f>IF(F46="","",IFERROR(INT(F46-TODAY()),""))</f>
        <v/>
      </c>
      <c r="K46" s="14">
        <f>IF(J46="","",IF(J46&lt;0,"Expired",IF(J46&lt;=30,"Expiring Soon","Active")))</f>
        <v/>
      </c>
      <c r="L46" s="14" t="n">
        <v>1</v>
      </c>
      <c r="M46" s="14" t="inlineStr">
        <is>
          <t>Annual</t>
        </is>
      </c>
    </row>
    <row r="47">
      <c r="A47" t="inlineStr">
        <is>
          <t>610501312519002743.pdf</t>
        </is>
      </c>
      <c r="B47" t="inlineStr">
        <is>
          <t>P6EBE1JYH25000836</t>
        </is>
      </c>
      <c r="C47" t="inlineStr">
        <is>
          <t>National Insurance Company Limited</t>
        </is>
      </c>
      <c r="D47" t="inlineStr">
        <is>
          <t>610501312519002743</t>
        </is>
      </c>
      <c r="E47" t="inlineStr">
        <is>
          <t>2025-09-19</t>
        </is>
      </c>
      <c r="F47" t="inlineStr">
        <is>
          <t>2026-09-18</t>
        </is>
      </c>
      <c r="G47" t="inlineStr">
        <is>
          <t>Yes</t>
        </is>
      </c>
      <c r="H47" t="inlineStr">
        <is>
          <t>accident, fire, explosion, self-ignition, lightning, theft, burglary, flood, cyclone, storm, earthquake, landslide, riot, strike, terrorism, malicious act, transit</t>
        </is>
      </c>
      <c r="I47" t="n">
        <v>3391</v>
      </c>
      <c r="J47">
        <f>IF(F47="","",IFERROR(INT(F47-TODAY()),""))</f>
        <v/>
      </c>
      <c r="K47">
        <f>IF(J47="","",IF(J47&lt;0,"Expired",IF(J47&lt;=30,"Expiring Soon","Active")))</f>
        <v/>
      </c>
      <c r="L47" t="n">
        <v>1</v>
      </c>
      <c r="M47" t="inlineStr">
        <is>
          <t>Annual</t>
        </is>
      </c>
    </row>
    <row r="48">
      <c r="A48" s="14" t="inlineStr">
        <is>
          <t>610501312519002745.pdf</t>
        </is>
      </c>
      <c r="B48" s="14" t="inlineStr">
        <is>
          <t>P6EBE1JYH25000838</t>
        </is>
      </c>
      <c r="C48" s="14" t="inlineStr">
        <is>
          <t>National Insurance Company Limited</t>
        </is>
      </c>
      <c r="D48" s="14" t="inlineStr">
        <is>
          <t>610501312519002745</t>
        </is>
      </c>
      <c r="E48" s="14" t="inlineStr">
        <is>
          <t>2025-09-19</t>
        </is>
      </c>
      <c r="F48" s="14" t="inlineStr">
        <is>
          <t>2026-09-18</t>
        </is>
      </c>
      <c r="G48" s="14" t="inlineStr">
        <is>
          <t>Yes</t>
        </is>
      </c>
      <c r="H48" s="14" t="inlineStr">
        <is>
          <t>accident, fire, explosion, self-ignition, lightning, theft, burglary, flood, cyclone, storm, earthquake, landslide, riot, strike, terrorism, malicious act, transit</t>
        </is>
      </c>
      <c r="I48" s="14" t="n">
        <v>3391</v>
      </c>
      <c r="J48" s="14">
        <f>IF(F48="","",IFERROR(INT(F48-TODAY()),""))</f>
        <v/>
      </c>
      <c r="K48" s="14">
        <f>IF(J48="","",IF(J48&lt;0,"Expired",IF(J48&lt;=30,"Expiring Soon","Active")))</f>
        <v/>
      </c>
      <c r="L48" s="14" t="n">
        <v>1</v>
      </c>
      <c r="M48" s="14" t="inlineStr">
        <is>
          <t>Annual</t>
        </is>
      </c>
    </row>
    <row r="49">
      <c r="A49" t="inlineStr">
        <is>
          <t>610501312519002747.pdf</t>
        </is>
      </c>
      <c r="B49" t="inlineStr">
        <is>
          <t>P6EBE1JYH25000840</t>
        </is>
      </c>
      <c r="C49" t="inlineStr">
        <is>
          <t>National Insurance Company Limited</t>
        </is>
      </c>
      <c r="D49" t="inlineStr">
        <is>
          <t>610501312519002747</t>
        </is>
      </c>
      <c r="E49" t="inlineStr">
        <is>
          <t>2025-09-19</t>
        </is>
      </c>
      <c r="F49" t="inlineStr">
        <is>
          <t>2026-09-18</t>
        </is>
      </c>
      <c r="G49" t="inlineStr">
        <is>
          <t>Yes</t>
        </is>
      </c>
      <c r="H49" t="inlineStr">
        <is>
          <t>accident, fire, explosion, self-ignition, lightning, theft, burglary, flood, cyclone, storm, earthquake, landslide, riot, strike, terrorism, malicious act, transit</t>
        </is>
      </c>
      <c r="I49" t="n">
        <v>3391</v>
      </c>
      <c r="J49">
        <f>IF(F49="","",IFERROR(INT(F49-TODAY()),""))</f>
        <v/>
      </c>
      <c r="K49">
        <f>IF(J49="","",IF(J49&lt;0,"Expired",IF(J49&lt;=30,"Expiring Soon","Active")))</f>
        <v/>
      </c>
      <c r="L49" t="n">
        <v>1</v>
      </c>
      <c r="M49" t="inlineStr">
        <is>
          <t>Annual</t>
        </is>
      </c>
    </row>
    <row r="50">
      <c r="A50" s="14" t="inlineStr">
        <is>
          <t>610501312519004676.pdf</t>
        </is>
      </c>
      <c r="B50" s="14" t="inlineStr">
        <is>
          <t>MD92N41SKDA639341</t>
        </is>
      </c>
      <c r="C50" s="14" t="inlineStr">
        <is>
          <t>National Insurance Co. Ltd.</t>
        </is>
      </c>
      <c r="D50" s="14" t="inlineStr">
        <is>
          <t>610501312519004676</t>
        </is>
      </c>
      <c r="E50" s="14" t="inlineStr">
        <is>
          <t>2026-02-11</t>
        </is>
      </c>
      <c r="F50" s="14" t="inlineStr">
        <is>
          <t>2027-02-10</t>
        </is>
      </c>
      <c r="G50" s="14" t="inlineStr">
        <is>
          <t>Yes</t>
        </is>
      </c>
      <c r="H50" s="14" t="inlineStr">
        <is>
          <t>accident, fire, explosion, self-ignition, lightning, theft, burglary, flood, cyclone, storm, earthquake, landslide, riot, strike, terrorism, malicious act, transit</t>
        </is>
      </c>
      <c r="I50" s="14" t="n">
        <v>3331</v>
      </c>
      <c r="J50" s="14">
        <f>IF(F50="","",IFERROR(INT(F50-TODAY()),""))</f>
        <v/>
      </c>
      <c r="K50" s="14">
        <f>IF(J50="","",IF(J50&lt;0,"Expired",IF(J50&lt;=30,"Expiring Soon","Active")))</f>
        <v/>
      </c>
      <c r="L50" s="14" t="n">
        <v>1</v>
      </c>
      <c r="M50" s="14" t="inlineStr">
        <is>
          <t>Annual</t>
        </is>
      </c>
    </row>
    <row r="51">
      <c r="A51" t="inlineStr">
        <is>
          <t>610501312519004688.pdf</t>
        </is>
      </c>
      <c r="B51" t="inlineStr">
        <is>
          <t>MD92N41SKCM639187</t>
        </is>
      </c>
      <c r="C51" t="inlineStr">
        <is>
          <t>National Insurance Co. Ltd.</t>
        </is>
      </c>
      <c r="D51" t="inlineStr">
        <is>
          <t>610501312519004688</t>
        </is>
      </c>
      <c r="E51" t="inlineStr">
        <is>
          <t>2026-02-11</t>
        </is>
      </c>
      <c r="F51" t="inlineStr">
        <is>
          <t>2027-02-10</t>
        </is>
      </c>
      <c r="G51" t="inlineStr">
        <is>
          <t>Yes</t>
        </is>
      </c>
      <c r="H51" t="inlineStr">
        <is>
          <t>accident, fire, explosion, self-ignition, lightning, theft, burglary, flood, cyclone, storm, earthquake, landslide, riot, strike, terrorism, malicious act, transit</t>
        </is>
      </c>
      <c r="I51" t="n">
        <v>3331</v>
      </c>
      <c r="J51">
        <f>IF(F51="","",IFERROR(INT(F51-TODAY()),""))</f>
        <v/>
      </c>
      <c r="K51">
        <f>IF(J51="","",IF(J51&lt;0,"Expired",IF(J51&lt;=30,"Expiring Soon","Active")))</f>
        <v/>
      </c>
      <c r="L51" t="n">
        <v>1</v>
      </c>
      <c r="M51" t="inlineStr">
        <is>
          <t>Annual</t>
        </is>
      </c>
    </row>
    <row r="52">
      <c r="A52" s="14" t="inlineStr">
        <is>
          <t>610501312519004707.pdf</t>
        </is>
      </c>
      <c r="B52" s="14" t="inlineStr">
        <is>
          <t>MD92N41SKDA639419</t>
        </is>
      </c>
      <c r="C52" s="14" t="inlineStr">
        <is>
          <t>National Insurance Co. Ltd.</t>
        </is>
      </c>
      <c r="D52" s="14" t="inlineStr">
        <is>
          <t>610501312519004707</t>
        </is>
      </c>
      <c r="E52" s="14" t="inlineStr">
        <is>
          <t>2026-02-11</t>
        </is>
      </c>
      <c r="F52" s="14" t="inlineStr">
        <is>
          <t>2027-02-10</t>
        </is>
      </c>
      <c r="G52" s="14" t="inlineStr">
        <is>
          <t>Yes</t>
        </is>
      </c>
      <c r="H52" s="14" t="inlineStr">
        <is>
          <t>accident, fire, explosion, self-ignition, lightning, theft, burglary, flood, cyclone, storm, earthquake, landslide, riot, strike, terrorism, malicious act, transit</t>
        </is>
      </c>
      <c r="I52" s="14" t="n">
        <v>3331</v>
      </c>
      <c r="J52" s="14">
        <f>IF(F52="","",IFERROR(INT(F52-TODAY()),""))</f>
        <v/>
      </c>
      <c r="K52" s="14">
        <f>IF(J52="","",IF(J52&lt;0,"Expired",IF(J52&lt;=30,"Expiring Soon","Active")))</f>
        <v/>
      </c>
      <c r="L52" s="14" t="n">
        <v>1</v>
      </c>
      <c r="M52" s="14" t="inlineStr">
        <is>
          <t>Annual</t>
        </is>
      </c>
    </row>
    <row r="53">
      <c r="A53" t="inlineStr">
        <is>
          <t>610501312519004715.pdf</t>
        </is>
      </c>
      <c r="B53" t="inlineStr">
        <is>
          <t>MD92N41SKDA639438</t>
        </is>
      </c>
      <c r="C53" t="inlineStr">
        <is>
          <t>National Insurance Co. Ltd.</t>
        </is>
      </c>
      <c r="D53" t="inlineStr">
        <is>
          <t>610501312519004715</t>
        </is>
      </c>
      <c r="E53" t="inlineStr">
        <is>
          <t>2026-02-11</t>
        </is>
      </c>
      <c r="F53" t="inlineStr">
        <is>
          <t>2027-02-10</t>
        </is>
      </c>
      <c r="G53" t="inlineStr">
        <is>
          <t>Yes</t>
        </is>
      </c>
      <c r="H53" t="inlineStr">
        <is>
          <t>accident, fire, explosion, self-ignition, lightning, theft, burglary, flood, cyclone, storm, earthquake, landslide, riot, strike, terrorism, malicious act, transit</t>
        </is>
      </c>
      <c r="I53" t="n">
        <v>3331</v>
      </c>
      <c r="J53">
        <f>IF(F53="","",IFERROR(INT(F53-TODAY()),""))</f>
        <v/>
      </c>
      <c r="K53">
        <f>IF(J53="","",IF(J53&lt;0,"Expired",IF(J53&lt;=30,"Expiring Soon","Active")))</f>
        <v/>
      </c>
      <c r="L53" t="n">
        <v>1</v>
      </c>
      <c r="M53" t="inlineStr">
        <is>
          <t>Annual</t>
        </is>
      </c>
    </row>
    <row r="54">
      <c r="A54" s="14" t="inlineStr">
        <is>
          <t>610501312519004717.pdf</t>
        </is>
      </c>
      <c r="B54" s="14" t="inlineStr">
        <is>
          <t>MD92N41SKDB639025</t>
        </is>
      </c>
      <c r="C54" s="14" t="inlineStr">
        <is>
          <t>National Insurance Co. Ltd.</t>
        </is>
      </c>
      <c r="D54" s="14" t="inlineStr">
        <is>
          <t>610501312519004717</t>
        </is>
      </c>
      <c r="E54" s="14" t="inlineStr">
        <is>
          <t>2026-02-11</t>
        </is>
      </c>
      <c r="F54" s="14" t="inlineStr">
        <is>
          <t>2027-02-10</t>
        </is>
      </c>
      <c r="G54" s="14" t="inlineStr">
        <is>
          <t>Yes</t>
        </is>
      </c>
      <c r="H54" s="14" t="inlineStr">
        <is>
          <t>accident, fire, explosion, self-ignition, lightning, theft, burglary, flood, cyclone, storm, earthquake, landslide, riot, strike, terrorism, malicious act, transit</t>
        </is>
      </c>
      <c r="I54" s="14" t="n">
        <v>3331</v>
      </c>
      <c r="J54" s="14">
        <f>IF(F54="","",IFERROR(INT(F54-TODAY()),""))</f>
        <v/>
      </c>
      <c r="K54" s="14">
        <f>IF(J54="","",IF(J54&lt;0,"Expired",IF(J54&lt;=30,"Expiring Soon","Active")))</f>
        <v/>
      </c>
      <c r="L54" s="14" t="n">
        <v>1</v>
      </c>
      <c r="M54" s="14" t="inlineStr">
        <is>
          <t>Annual</t>
        </is>
      </c>
    </row>
    <row r="55">
      <c r="A55" t="inlineStr">
        <is>
          <t>610501312519004727.pdf</t>
        </is>
      </c>
      <c r="B55" t="inlineStr">
        <is>
          <t>MD92N41SKDB639016</t>
        </is>
      </c>
      <c r="C55" t="inlineStr">
        <is>
          <t>National Insurance Co. Ltd.</t>
        </is>
      </c>
      <c r="D55" t="inlineStr">
        <is>
          <t>610501312519004727</t>
        </is>
      </c>
      <c r="E55" t="inlineStr">
        <is>
          <t>2026-02-11</t>
        </is>
      </c>
      <c r="F55" t="inlineStr">
        <is>
          <t>2027-02-10</t>
        </is>
      </c>
      <c r="G55" t="inlineStr">
        <is>
          <t>Yes</t>
        </is>
      </c>
      <c r="H55" t="inlineStr">
        <is>
          <t>accident, fire, explosion, self-ignition, lightning, theft, burglary, flood, cyclone, storm, earthquake, landslide, riot, strike, terrorism, malicious act, transit</t>
        </is>
      </c>
      <c r="I55" t="n">
        <v>3331</v>
      </c>
      <c r="J55">
        <f>IF(F55="","",IFERROR(INT(F55-TODAY()),""))</f>
        <v/>
      </c>
      <c r="K55">
        <f>IF(J55="","",IF(J55&lt;0,"Expired",IF(J55&lt;=30,"Expiring Soon","Active")))</f>
        <v/>
      </c>
      <c r="L55" t="n">
        <v>1</v>
      </c>
      <c r="M55" t="inlineStr">
        <is>
          <t>Annual</t>
        </is>
      </c>
    </row>
    <row r="56">
      <c r="A56" s="14" t="inlineStr">
        <is>
          <t>610501312519004747.pdf</t>
        </is>
      </c>
      <c r="B56" s="14" t="inlineStr">
        <is>
          <t>MD92N41SKDA639422</t>
        </is>
      </c>
      <c r="C56" s="14" t="inlineStr">
        <is>
          <t>National Insurance Co. Ltd.</t>
        </is>
      </c>
      <c r="D56" s="14" t="inlineStr">
        <is>
          <t>610501312519004747</t>
        </is>
      </c>
      <c r="E56" s="14" t="inlineStr">
        <is>
          <t>2026-02-11</t>
        </is>
      </c>
      <c r="F56" s="14" t="inlineStr">
        <is>
          <t>2027-02-10</t>
        </is>
      </c>
      <c r="G56" s="14" t="inlineStr">
        <is>
          <t>Yes</t>
        </is>
      </c>
      <c r="H56" s="14" t="inlineStr">
        <is>
          <t>accident, fire, explosion, self-ignition, lightning, theft, burglary, flood, cyclone, storm, earthquake, landslide, riot, strike, terrorism, malicious act, transit</t>
        </is>
      </c>
      <c r="I56" s="14" t="n">
        <v>3331</v>
      </c>
      <c r="J56" s="14">
        <f>IF(F56="","",IFERROR(INT(F56-TODAY()),""))</f>
        <v/>
      </c>
      <c r="K56" s="14">
        <f>IF(J56="","",IF(J56&lt;0,"Expired",IF(J56&lt;=30,"Expiring Soon","Active")))</f>
        <v/>
      </c>
      <c r="L56" s="14" t="n">
        <v>1</v>
      </c>
      <c r="M56" s="14" t="inlineStr">
        <is>
          <t>Annual</t>
        </is>
      </c>
    </row>
    <row r="57">
      <c r="A57" t="inlineStr">
        <is>
          <t>ALT-DDCO-10401.pdf</t>
        </is>
      </c>
      <c r="B57" t="inlineStr">
        <is>
          <t>MD6EVM1D7S4C00333</t>
        </is>
      </c>
      <c r="C57" t="inlineStr">
        <is>
          <t>Royal Sundaram General Insurance Co. Limited</t>
        </is>
      </c>
      <c r="D57" t="inlineStr">
        <is>
          <t>VPV0701260000100</t>
        </is>
      </c>
      <c r="E57" t="inlineStr">
        <is>
          <t>2026-03-22</t>
        </is>
      </c>
      <c r="F57" t="inlineStr">
        <is>
          <t>2027-03-21</t>
        </is>
      </c>
      <c r="G57" t="inlineStr">
        <is>
          <t>Yes</t>
        </is>
      </c>
      <c r="H57" t="inlineStr">
        <is>
          <t>accident, fire, explosion, self-ignition, lightning, theft, burglary, flood, cyclone, storm, earthquake, landslide, riot, strike, terrorism, malicious act, transit</t>
        </is>
      </c>
      <c r="I57" t="n">
        <v>6590</v>
      </c>
      <c r="J57">
        <f>IF(F57="","",IFERROR(INT(F57-TODAY()),""))</f>
        <v/>
      </c>
      <c r="K57">
        <f>IF(J57="","",IF(J57&lt;0,"Expired",IF(J57&lt;=30,"Expiring Soon","Active")))</f>
        <v/>
      </c>
      <c r="L57" t="n">
        <v>1</v>
      </c>
      <c r="M57" t="inlineStr">
        <is>
          <t>Annual</t>
        </is>
      </c>
    </row>
    <row r="58">
      <c r="A58" s="14" t="inlineStr">
        <is>
          <t>ALT-DDCO-12881.pdf</t>
        </is>
      </c>
      <c r="B58" s="14" t="inlineStr">
        <is>
          <t>MD6EVM1DXS4C00679</t>
        </is>
      </c>
      <c r="C58" s="14" t="inlineStr">
        <is>
          <t>Royal Sundaram General Insurance Co. Limited</t>
        </is>
      </c>
      <c r="D58" s="14" t="inlineStr">
        <is>
          <t>VPV0701261000100</t>
        </is>
      </c>
      <c r="E58" s="14" t="inlineStr">
        <is>
          <t>2026-04-01</t>
        </is>
      </c>
      <c r="F58" s="14" t="inlineStr">
        <is>
          <t>2027-03-31</t>
        </is>
      </c>
      <c r="G58" s="14" t="inlineStr">
        <is>
          <t>Yes</t>
        </is>
      </c>
      <c r="H58" s="14" t="inlineStr">
        <is>
          <t>accident, fire, explosion, self-ignition, lightning, theft, burglary</t>
        </is>
      </c>
      <c r="I58" s="14" t="n">
        <v>6590</v>
      </c>
      <c r="J58" s="14">
        <f>IF(F58="","",IFERROR(INT(F58-TODAY()),""))</f>
        <v/>
      </c>
      <c r="K58" s="14">
        <f>IF(J58="","",IF(J58&lt;0,"Expired",IF(J58&lt;=30,"Expiring Soon","Active")))</f>
        <v/>
      </c>
      <c r="L58" s="14" t="n">
        <v>1</v>
      </c>
      <c r="M58" s="14" t="inlineStr">
        <is>
          <t>Annual</t>
        </is>
      </c>
    </row>
    <row r="59">
      <c r="A59" t="inlineStr">
        <is>
          <t>ALT-DDCO-16071.pdf</t>
        </is>
      </c>
      <c r="B59" t="inlineStr">
        <is>
          <t>MA1AG2ZA7R5M68623</t>
        </is>
      </c>
      <c r="C59" t="inlineStr">
        <is>
          <t>Royal Sundaram General Insurance Co. Limited</t>
        </is>
      </c>
      <c r="D59" t="inlineStr">
        <is>
          <t>VPV0692659000100</t>
        </is>
      </c>
      <c r="E59" t="inlineStr">
        <is>
          <t>2026-02-08</t>
        </is>
      </c>
      <c r="F59" t="inlineStr">
        <is>
          <t>2027-02-07</t>
        </is>
      </c>
      <c r="G59" t="inlineStr">
        <is>
          <t>Yes</t>
        </is>
      </c>
      <c r="H59" t="inlineStr">
        <is>
          <t>accident, fire, explosion, self-ignition, lightning, theft, burglary</t>
        </is>
      </c>
      <c r="I59" t="n">
        <v>7151</v>
      </c>
      <c r="J59">
        <f>IF(F59="","",IFERROR(INT(F59-TODAY()),""))</f>
        <v/>
      </c>
      <c r="K59">
        <f>IF(J59="","",IF(J59&lt;0,"Expired",IF(J59&lt;=30,"Expiring Soon","Active")))</f>
        <v/>
      </c>
      <c r="L59" t="n">
        <v>1</v>
      </c>
      <c r="M59" t="inlineStr">
        <is>
          <t>Annual</t>
        </is>
      </c>
    </row>
    <row r="60">
      <c r="A60" s="14" t="inlineStr">
        <is>
          <t>ALT-DDCO-160711.pdf</t>
        </is>
      </c>
      <c r="B60" s="14" t="inlineStr">
        <is>
          <t>MA1AG2ZA7R5M68623</t>
        </is>
      </c>
      <c r="C60" s="14" t="inlineStr">
        <is>
          <t>Royal Sundaram General Insurance Co. Limited</t>
        </is>
      </c>
      <c r="D60" s="14" t="inlineStr">
        <is>
          <t>VPV0692659000100</t>
        </is>
      </c>
      <c r="E60" s="14" t="inlineStr">
        <is>
          <t>2026-02-08</t>
        </is>
      </c>
      <c r="F60" s="14" t="inlineStr">
        <is>
          <t>2027-02-07</t>
        </is>
      </c>
      <c r="G60" s="14" t="inlineStr">
        <is>
          <t>Yes</t>
        </is>
      </c>
      <c r="H60" s="14" t="inlineStr">
        <is>
          <t>accident, fire, explosion, self-ignition, lightning, theft, burglary, flood, cyclone, storm, earthquake, landslide, riot, strike, terrorism, malicious act, transit</t>
        </is>
      </c>
      <c r="I60" s="14" t="n">
        <v>7151</v>
      </c>
      <c r="J60" s="14">
        <f>IF(F60="","",IFERROR(INT(F60-TODAY()),""))</f>
        <v/>
      </c>
      <c r="K60" s="14">
        <f>IF(J60="","",IF(J60&lt;0,"Expired",IF(J60&lt;=30,"Expiring Soon","Active")))</f>
        <v/>
      </c>
      <c r="L60" s="14" t="n">
        <v>1</v>
      </c>
      <c r="M60" s="14" t="inlineStr">
        <is>
          <t>Annual</t>
        </is>
      </c>
    </row>
    <row r="61">
      <c r="A61" t="inlineStr">
        <is>
          <t>ALT-DDCO-18151.pdf</t>
        </is>
      </c>
      <c r="B61" t="inlineStr">
        <is>
          <t>P60N2412200005538</t>
        </is>
      </c>
      <c r="C61" t="inlineStr">
        <is>
          <t>Royal Sundaram General Insurance Co. Limited</t>
        </is>
      </c>
      <c r="D61" t="inlineStr">
        <is>
          <t>VPV0687629000100</t>
        </is>
      </c>
      <c r="E61" t="inlineStr">
        <is>
          <t>2026-01-13</t>
        </is>
      </c>
      <c r="F61" t="inlineStr">
        <is>
          <t>2027-01-12</t>
        </is>
      </c>
      <c r="G61" t="inlineStr">
        <is>
          <t>Yes</t>
        </is>
      </c>
      <c r="H61" t="inlineStr">
        <is>
          <t>accident, fire, explosion, self-ignition, lightning, theft, burglary, flood, cyclone, storm, earthquake, landslide, riot, strike, terrorism, malicious act, transit</t>
        </is>
      </c>
      <c r="I61" t="n">
        <v>7101</v>
      </c>
      <c r="J61">
        <f>IF(F61="","",IFERROR(INT(F61-TODAY()),""))</f>
        <v/>
      </c>
      <c r="K61">
        <f>IF(J61="","",IF(J61&lt;0,"Expired",IF(J61&lt;=30,"Expiring Soon","Active")))</f>
        <v/>
      </c>
      <c r="L61" t="n">
        <v>1</v>
      </c>
      <c r="M61" t="inlineStr">
        <is>
          <t>Annual</t>
        </is>
      </c>
    </row>
    <row r="62">
      <c r="A62" s="14" t="inlineStr">
        <is>
          <t>ALT-DDCO-181511.pdf</t>
        </is>
      </c>
      <c r="B62" s="14" t="inlineStr">
        <is>
          <t>P60N2412200005538</t>
        </is>
      </c>
      <c r="C62" s="14" t="inlineStr">
        <is>
          <t>Royal Sundaram General Insurance Co. Limited</t>
        </is>
      </c>
      <c r="D62" s="14" t="inlineStr">
        <is>
          <t>VPV0687629000100</t>
        </is>
      </c>
      <c r="E62" s="14" t="inlineStr">
        <is>
          <t>2026-01-13</t>
        </is>
      </c>
      <c r="F62" s="14" t="inlineStr">
        <is>
          <t>2027-01-12</t>
        </is>
      </c>
      <c r="G62" s="14" t="inlineStr">
        <is>
          <t>Yes</t>
        </is>
      </c>
      <c r="H62" s="14" t="inlineStr">
        <is>
          <t>accident, fire, explosion, self-ignition, lightning, theft, burglary, flood, cyclone, storm, earthquake, landslide, riot, strike, terrorism, malicious act, transit</t>
        </is>
      </c>
      <c r="I62" s="14" t="n">
        <v>7101</v>
      </c>
      <c r="J62" s="14">
        <f>IF(F62="","",IFERROR(INT(F62-TODAY()),""))</f>
        <v/>
      </c>
      <c r="K62" s="14">
        <f>IF(J62="","",IF(J62&lt;0,"Expired",IF(J62&lt;=30,"Expiring Soon","Active")))</f>
        <v/>
      </c>
      <c r="L62" s="14" t="n">
        <v>1</v>
      </c>
      <c r="M62" s="14" t="inlineStr">
        <is>
          <t>Annual</t>
        </is>
      </c>
    </row>
    <row r="63">
      <c r="A63" t="inlineStr">
        <is>
          <t>ALT-DDCO-20091.pdf</t>
        </is>
      </c>
      <c r="B63" t="inlineStr">
        <is>
          <t>MD6EVM1D9S4B00203</t>
        </is>
      </c>
      <c r="C63" t="inlineStr">
        <is>
          <t>Royal Sundaram General Insurance Co. Limited</t>
        </is>
      </c>
      <c r="D63" t="inlineStr">
        <is>
          <t>VPV0695098000100</t>
        </is>
      </c>
      <c r="E63" t="inlineStr">
        <is>
          <t>2026-02-24</t>
        </is>
      </c>
      <c r="F63" t="inlineStr">
        <is>
          <t>2027-02-23</t>
        </is>
      </c>
      <c r="G63" t="inlineStr">
        <is>
          <t>Yes</t>
        </is>
      </c>
      <c r="H63" t="inlineStr">
        <is>
          <t>accident, fire, explosion, self-ignition, lightning, theft, burglary</t>
        </is>
      </c>
      <c r="I63" t="n">
        <v>6711</v>
      </c>
      <c r="J63">
        <f>IF(F63="","",IFERROR(INT(F63-TODAY()),""))</f>
        <v/>
      </c>
      <c r="K63">
        <f>IF(J63="","",IF(J63&lt;0,"Expired",IF(J63&lt;=30,"Expiring Soon","Active")))</f>
        <v/>
      </c>
      <c r="L63" t="n">
        <v>1</v>
      </c>
      <c r="M63" t="inlineStr">
        <is>
          <t>Annual</t>
        </is>
      </c>
    </row>
    <row r="64">
      <c r="A64" s="14" t="inlineStr">
        <is>
          <t>ALT-DDCO-21841.pdf</t>
        </is>
      </c>
      <c r="B64" s="14" t="inlineStr">
        <is>
          <t>MA1AG2ZA7R5M68243</t>
        </is>
      </c>
      <c r="C64" s="14" t="inlineStr">
        <is>
          <t>Royal Sundaram General Insurance Co. Limited</t>
        </is>
      </c>
      <c r="D64" s="14" t="inlineStr">
        <is>
          <t>VPV0687684000100</t>
        </is>
      </c>
      <c r="E64" s="14" t="inlineStr">
        <is>
          <t>2026-01-27</t>
        </is>
      </c>
      <c r="F64" s="14" t="inlineStr">
        <is>
          <t>2027-01-26</t>
        </is>
      </c>
      <c r="G64" s="14" t="inlineStr">
        <is>
          <t>Yes</t>
        </is>
      </c>
      <c r="H64" s="14" t="inlineStr">
        <is>
          <t>accident, fire, explosion, self-ignition, lightning, theft, burglary, flood, cyclone, storm, earthquake, landslide, riot, strike, terrorism, malicious act, transit</t>
        </is>
      </c>
      <c r="I64" s="14" t="n">
        <v>6950</v>
      </c>
      <c r="J64" s="14">
        <f>IF(F64="","",IFERROR(INT(F64-TODAY()),""))</f>
        <v/>
      </c>
      <c r="K64" s="14">
        <f>IF(J64="","",IF(J64&lt;0,"Expired",IF(J64&lt;=30,"Expiring Soon","Active")))</f>
        <v/>
      </c>
      <c r="L64" s="14" t="n">
        <v>1</v>
      </c>
      <c r="M64" s="14" t="inlineStr">
        <is>
          <t>Annual</t>
        </is>
      </c>
    </row>
    <row r="65">
      <c r="A65" t="inlineStr">
        <is>
          <t>ALT-DDCO-218411.pdf</t>
        </is>
      </c>
      <c r="B65" t="inlineStr">
        <is>
          <t>MA1AG2ZA7R5M68243</t>
        </is>
      </c>
      <c r="C65" t="inlineStr">
        <is>
          <t>Royal Sundaram General Insurance Co. Limited</t>
        </is>
      </c>
      <c r="D65" t="inlineStr">
        <is>
          <t>VPV0687684000100</t>
        </is>
      </c>
      <c r="E65" t="inlineStr">
        <is>
          <t>2026-01-27</t>
        </is>
      </c>
      <c r="F65" t="inlineStr">
        <is>
          <t>2027-01-26</t>
        </is>
      </c>
      <c r="G65" t="inlineStr">
        <is>
          <t>Yes</t>
        </is>
      </c>
      <c r="H65" t="inlineStr">
        <is>
          <t>accident, fire, explosion, self-ignition, lightning, theft, burglary, flood, cyclone, storm, earthquake, landslide, riot, strike, terrorism, malicious act, transit</t>
        </is>
      </c>
      <c r="I65" t="n">
        <v>6950</v>
      </c>
      <c r="J65">
        <f>IF(F65="","",IFERROR(INT(F65-TODAY()),""))</f>
        <v/>
      </c>
      <c r="K65">
        <f>IF(J65="","",IF(J65&lt;0,"Expired",IF(J65&lt;=30,"Expiring Soon","Active")))</f>
        <v/>
      </c>
      <c r="L65" t="n">
        <v>1</v>
      </c>
      <c r="M65" t="inlineStr">
        <is>
          <t>Annual</t>
        </is>
      </c>
    </row>
    <row r="66">
      <c r="A66" s="14" t="inlineStr">
        <is>
          <t>ALT-DDCO-22991.pdf</t>
        </is>
      </c>
      <c r="B66" s="14" t="inlineStr">
        <is>
          <t>MA1AG2ZA7S5A79772</t>
        </is>
      </c>
      <c r="C66" s="14" t="inlineStr">
        <is>
          <t>Royal Sundaram General Insurance Co. Limited</t>
        </is>
      </c>
      <c r="D66" s="14" t="inlineStr">
        <is>
          <t>VPV0692660000100</t>
        </is>
      </c>
      <c r="E66" s="14" t="inlineStr">
        <is>
          <t>2026-02-14</t>
        </is>
      </c>
      <c r="F66" s="14" t="inlineStr">
        <is>
          <t>2027-02-13</t>
        </is>
      </c>
      <c r="G66" s="14" t="inlineStr">
        <is>
          <t>Yes</t>
        </is>
      </c>
      <c r="H66" s="14" t="inlineStr">
        <is>
          <t>accident, fire, explosion, self-ignition, lightning, theft, burglary, flood, cyclone, storm, earthquake, landslide, riot, strike, terrorism, malicious act, transit</t>
        </is>
      </c>
      <c r="I66" s="14" t="n">
        <v>7151</v>
      </c>
      <c r="J66" s="14">
        <f>IF(F66="","",IFERROR(INT(F66-TODAY()),""))</f>
        <v/>
      </c>
      <c r="K66" s="14">
        <f>IF(J66="","",IF(J66&lt;0,"Expired",IF(J66&lt;=30,"Expiring Soon","Active")))</f>
        <v/>
      </c>
      <c r="L66" s="14" t="n">
        <v>1</v>
      </c>
      <c r="M66" s="14" t="inlineStr">
        <is>
          <t>Annual</t>
        </is>
      </c>
    </row>
    <row r="67">
      <c r="A67" t="inlineStr">
        <is>
          <t>ALT-DDCO-26191.pdf</t>
        </is>
      </c>
      <c r="B67" t="inlineStr">
        <is>
          <t>MD2B94305RWF54868</t>
        </is>
      </c>
      <c r="C67" t="inlineStr">
        <is>
          <t>Royal Sundaram General Insurance Co. Limited</t>
        </is>
      </c>
      <c r="D67" t="inlineStr">
        <is>
          <t>VPV0671980000100</t>
        </is>
      </c>
      <c r="E67" t="inlineStr">
        <is>
          <t>2025-11-07</t>
        </is>
      </c>
      <c r="F67" t="inlineStr">
        <is>
          <t>2026-11-06</t>
        </is>
      </c>
      <c r="G67" t="inlineStr">
        <is>
          <t>Yes</t>
        </is>
      </c>
      <c r="H67" t="inlineStr">
        <is>
          <t>accident, fire, explosion, self-ignition, lightning, theft, burglary, flood, cyclone, storm, earthquake, landslide, riot, strike, terrorism, malicious act, transit</t>
        </is>
      </c>
      <c r="I67" t="n">
        <v>6972</v>
      </c>
      <c r="J67">
        <f>IF(F67="","",IFERROR(INT(F67-TODAY()),""))</f>
        <v/>
      </c>
      <c r="K67">
        <f>IF(J67="","",IF(J67&lt;0,"Expired",IF(J67&lt;=30,"Expiring Soon","Active")))</f>
        <v/>
      </c>
      <c r="L67" t="n">
        <v>1</v>
      </c>
      <c r="M67" t="inlineStr">
        <is>
          <t>Annual</t>
        </is>
      </c>
    </row>
    <row r="68">
      <c r="A68" s="14" t="inlineStr">
        <is>
          <t>ALT-DDCO-277-insu1.pdf</t>
        </is>
      </c>
      <c r="B68" s="14" t="inlineStr">
        <is>
          <t>MD2B8830XRWJ05788</t>
        </is>
      </c>
      <c r="C68" s="14" t="inlineStr">
        <is>
          <t>Royal Sundaram General Insurance Co. Limited</t>
        </is>
      </c>
      <c r="D68" s="14" t="inlineStr">
        <is>
          <t>VGC1470294000100</t>
        </is>
      </c>
      <c r="E68" s="14" t="inlineStr">
        <is>
          <t>2026-01-11</t>
        </is>
      </c>
      <c r="F68" s="14" t="inlineStr">
        <is>
          <t>2027-01-10</t>
        </is>
      </c>
      <c r="G68" s="14" t="inlineStr">
        <is>
          <t>Yes</t>
        </is>
      </c>
      <c r="H68" s="14" t="inlineStr">
        <is>
          <t>accident, fire, explosion, self-ignition, lightning, theft, burglary, flood, cyclone, storm, earthquake, landslide, riot, strike, terrorism, malicious act, transit</t>
        </is>
      </c>
      <c r="I68" s="14" t="n">
        <v>6913</v>
      </c>
      <c r="J68" s="14">
        <f>IF(F68="","",IFERROR(INT(F68-TODAY()),""))</f>
        <v/>
      </c>
      <c r="K68" s="14">
        <f>IF(J68="","",IF(J68&lt;0,"Expired",IF(J68&lt;=30,"Expiring Soon","Active")))</f>
        <v/>
      </c>
      <c r="L68" s="14" t="n">
        <v>1</v>
      </c>
      <c r="M68" s="14" t="inlineStr">
        <is>
          <t>Annual</t>
        </is>
      </c>
    </row>
    <row r="69">
      <c r="A69" t="inlineStr">
        <is>
          <t>ALT-DDCO-3601.pdf</t>
        </is>
      </c>
      <c r="B69" t="inlineStr">
        <is>
          <t>P60M2412100004894</t>
        </is>
      </c>
      <c r="C69" t="inlineStr">
        <is>
          <t>Royal Sundaram General Insurance Co. Limited</t>
        </is>
      </c>
      <c r="D69" t="inlineStr">
        <is>
          <t>VPV0687663000100</t>
        </is>
      </c>
      <c r="E69" t="inlineStr">
        <is>
          <t>2026-01-17</t>
        </is>
      </c>
      <c r="F69" t="inlineStr">
        <is>
          <t>2027-01-16</t>
        </is>
      </c>
      <c r="G69" t="inlineStr">
        <is>
          <t>Yes</t>
        </is>
      </c>
      <c r="H69" t="inlineStr">
        <is>
          <t>accident, fire, explosion, self-ignition, lightning, theft, burglary</t>
        </is>
      </c>
      <c r="I69" t="n">
        <v>7101</v>
      </c>
      <c r="J69">
        <f>IF(F69="","",IFERROR(INT(F69-TODAY()),""))</f>
        <v/>
      </c>
      <c r="K69">
        <f>IF(J69="","",IF(J69&lt;0,"Expired",IF(J69&lt;=30,"Expiring Soon","Active")))</f>
        <v/>
      </c>
      <c r="L69" t="n">
        <v>1</v>
      </c>
      <c r="M69" t="inlineStr">
        <is>
          <t>Annual</t>
        </is>
      </c>
    </row>
    <row r="70">
      <c r="A70" s="14" t="inlineStr">
        <is>
          <t>ALT-DDCO-36011.pdf</t>
        </is>
      </c>
      <c r="B70" s="14" t="inlineStr">
        <is>
          <t>P60M2412100004894</t>
        </is>
      </c>
      <c r="C70" s="14" t="inlineStr">
        <is>
          <t>Royal Sundaram General Insurance Co. Limited</t>
        </is>
      </c>
      <c r="D70" s="14" t="inlineStr">
        <is>
          <t>VPV0687663000100</t>
        </is>
      </c>
      <c r="E70" s="14" t="inlineStr">
        <is>
          <t>2026-01-17</t>
        </is>
      </c>
      <c r="F70" s="14" t="inlineStr">
        <is>
          <t>2027-01-16</t>
        </is>
      </c>
      <c r="G70" s="14" t="inlineStr">
        <is>
          <t>Yes</t>
        </is>
      </c>
      <c r="H70" s="14" t="inlineStr">
        <is>
          <t>accident, fire, explosion, self-ignition, lightning, theft, burglary, flood, cyclone, storm, earthquake, landslide, riot, strike, terrorism, malicious act, transit</t>
        </is>
      </c>
      <c r="I70" s="14" t="n">
        <v>7101</v>
      </c>
      <c r="J70" s="14">
        <f>IF(F70="","",IFERROR(INT(F70-TODAY()),""))</f>
        <v/>
      </c>
      <c r="K70" s="14">
        <f>IF(J70="","",IF(J70&lt;0,"Expired",IF(J70&lt;=30,"Expiring Soon","Active")))</f>
        <v/>
      </c>
      <c r="L70" s="14" t="n">
        <v>1</v>
      </c>
      <c r="M70" s="14" t="inlineStr">
        <is>
          <t>Annual</t>
        </is>
      </c>
    </row>
    <row r="71">
      <c r="A71" t="inlineStr">
        <is>
          <t>ALT-DDCO-3671.pdf</t>
        </is>
      </c>
      <c r="B71" t="inlineStr">
        <is>
          <t>P60H2412200002673</t>
        </is>
      </c>
      <c r="C71" t="inlineStr">
        <is>
          <t>Royal Sundaram General Insurance Co. Limited</t>
        </is>
      </c>
      <c r="D71" t="inlineStr">
        <is>
          <t>VPV0687657000100</t>
        </is>
      </c>
      <c r="E71" t="inlineStr">
        <is>
          <t>2026-01-13</t>
        </is>
      </c>
      <c r="F71" t="inlineStr">
        <is>
          <t>2027-01-12</t>
        </is>
      </c>
      <c r="G71" t="inlineStr">
        <is>
          <t>Yes</t>
        </is>
      </c>
      <c r="H71" t="inlineStr">
        <is>
          <t>accident, fire, explosion, self-ignition, lightning, theft, burglary</t>
        </is>
      </c>
      <c r="I71" t="n">
        <v>7101</v>
      </c>
      <c r="J71">
        <f>IF(F71="","",IFERROR(INT(F71-TODAY()),""))</f>
        <v/>
      </c>
      <c r="K71">
        <f>IF(J71="","",IF(J71&lt;0,"Expired",IF(J71&lt;=30,"Expiring Soon","Active")))</f>
        <v/>
      </c>
      <c r="L71" t="n">
        <v>1</v>
      </c>
      <c r="M71" t="inlineStr">
        <is>
          <t>Annual</t>
        </is>
      </c>
    </row>
    <row r="72">
      <c r="A72" s="14" t="inlineStr">
        <is>
          <t>ALT-DDCO-3911.pdf</t>
        </is>
      </c>
      <c r="B72" s="14" t="inlineStr">
        <is>
          <t>MBX0009TF3K461031</t>
        </is>
      </c>
      <c r="C72" s="14" t="inlineStr">
        <is>
          <t>Royal Sundaram General Insurance Co. Limited</t>
        </is>
      </c>
      <c r="D72" s="14" t="inlineStr">
        <is>
          <t>VPV0687653000100</t>
        </is>
      </c>
      <c r="E72" s="14" t="inlineStr">
        <is>
          <t>2026-01-11</t>
        </is>
      </c>
      <c r="F72" s="14" t="inlineStr">
        <is>
          <t>2027-01-10</t>
        </is>
      </c>
      <c r="G72" s="14" t="inlineStr">
        <is>
          <t>Yes</t>
        </is>
      </c>
      <c r="H72" s="14" t="inlineStr">
        <is>
          <t>accident, fire, explosion, self-ignition, lightning, theft, burglary, flood, cyclone, storm, earthquake, landslide, riot, strike, terrorism, malicious act, transit</t>
        </is>
      </c>
      <c r="I72" s="14" t="n">
        <v>7017</v>
      </c>
      <c r="J72" s="14">
        <f>IF(F72="","",IFERROR(INT(F72-TODAY()),""))</f>
        <v/>
      </c>
      <c r="K72" s="14">
        <f>IF(J72="","",IF(J72&lt;0,"Expired",IF(J72&lt;=30,"Expiring Soon","Active")))</f>
        <v/>
      </c>
      <c r="L72" s="14" t="n">
        <v>1</v>
      </c>
      <c r="M72" s="14" t="inlineStr">
        <is>
          <t>Annual</t>
        </is>
      </c>
    </row>
    <row r="73">
      <c r="A73" t="inlineStr">
        <is>
          <t>ALT-DDCO-4301.pdf</t>
        </is>
      </c>
      <c r="B73" t="inlineStr">
        <is>
          <t>MA1AG2ZA7R5L95043</t>
        </is>
      </c>
      <c r="C73" t="inlineStr">
        <is>
          <t>Royal Sundaram General Insurance Co. Limited</t>
        </is>
      </c>
      <c r="D73" t="inlineStr">
        <is>
          <t>VPV0687675000100</t>
        </is>
      </c>
      <c r="E73" t="inlineStr">
        <is>
          <t>2026-01-27</t>
        </is>
      </c>
      <c r="F73" t="inlineStr">
        <is>
          <t>2027-01-26</t>
        </is>
      </c>
      <c r="G73" t="inlineStr">
        <is>
          <t>Yes</t>
        </is>
      </c>
      <c r="H73" t="inlineStr">
        <is>
          <t>accident, fire, explosion, self-ignition, lightning, theft, burglary, flood, cyclone, storm, earthquake, landslide, riot, strike, terrorism, malicious act, transit</t>
        </is>
      </c>
      <c r="I73" t="n">
        <v>6950</v>
      </c>
      <c r="J73">
        <f>IF(F73="","",IFERROR(INT(F73-TODAY()),""))</f>
        <v/>
      </c>
      <c r="K73">
        <f>IF(J73="","",IF(J73&lt;0,"Expired",IF(J73&lt;=30,"Expiring Soon","Active")))</f>
        <v/>
      </c>
      <c r="L73" t="n">
        <v>1</v>
      </c>
      <c r="M73" t="inlineStr">
        <is>
          <t>Annual</t>
        </is>
      </c>
    </row>
    <row r="74">
      <c r="A74" s="14" t="inlineStr">
        <is>
          <t>ALT-DDCO-4441.pdf</t>
        </is>
      </c>
      <c r="B74" s="14" t="inlineStr">
        <is>
          <t>P60A2512200005804</t>
        </is>
      </c>
      <c r="C74" s="14" t="inlineStr">
        <is>
          <t>Royal Sundaram General Insurance Co. Limited</t>
        </is>
      </c>
      <c r="D74" s="14" t="inlineStr">
        <is>
          <t>VPV0687658000100</t>
        </is>
      </c>
      <c r="E74" s="14" t="inlineStr">
        <is>
          <t>2026-01-15</t>
        </is>
      </c>
      <c r="F74" s="14" t="inlineStr">
        <is>
          <t>2027-01-14</t>
        </is>
      </c>
      <c r="G74" s="14" t="inlineStr">
        <is>
          <t>Yes</t>
        </is>
      </c>
      <c r="H74" s="14" t="inlineStr">
        <is>
          <t>accident, fire, explosion, self-ignition, lightning, theft, burglary</t>
        </is>
      </c>
      <c r="I74" s="14" t="n">
        <v>7101</v>
      </c>
      <c r="J74" s="14">
        <f>IF(F74="","",IFERROR(INT(F74-TODAY()),""))</f>
        <v/>
      </c>
      <c r="K74" s="14">
        <f>IF(J74="","",IF(J74&lt;0,"Expired",IF(J74&lt;=30,"Expiring Soon","Active")))</f>
        <v/>
      </c>
      <c r="L74" s="14" t="n">
        <v>1</v>
      </c>
      <c r="M74" s="14" t="inlineStr">
        <is>
          <t>Annual</t>
        </is>
      </c>
    </row>
    <row r="75">
      <c r="A75" t="inlineStr">
        <is>
          <t>ALT-DDCO-4471.pdf</t>
        </is>
      </c>
      <c r="B75" t="inlineStr">
        <is>
          <t>P60A2512200005770</t>
        </is>
      </c>
      <c r="C75" t="inlineStr">
        <is>
          <t>Royal Sundaram General Insurance Co. Limited</t>
        </is>
      </c>
      <c r="D75" t="inlineStr">
        <is>
          <t>VPV0687659000100</t>
        </is>
      </c>
      <c r="E75" t="inlineStr">
        <is>
          <t>2026-01-15</t>
        </is>
      </c>
      <c r="F75" t="inlineStr">
        <is>
          <t>2027-01-14</t>
        </is>
      </c>
      <c r="G75" t="inlineStr">
        <is>
          <t>Yes</t>
        </is>
      </c>
      <c r="H75" t="inlineStr">
        <is>
          <t>accident, fire, explosion, self-ignition, lightning, theft, burglary</t>
        </is>
      </c>
      <c r="I75" t="n">
        <v>7101</v>
      </c>
      <c r="J75">
        <f>IF(F75="","",IFERROR(INT(F75-TODAY()),""))</f>
        <v/>
      </c>
      <c r="K75">
        <f>IF(J75="","",IF(J75&lt;0,"Expired",IF(J75&lt;=30,"Expiring Soon","Active")))</f>
        <v/>
      </c>
      <c r="L75" t="n">
        <v>1</v>
      </c>
      <c r="M75" t="inlineStr">
        <is>
          <t>Annual</t>
        </is>
      </c>
    </row>
    <row r="76">
      <c r="A76" s="14" t="inlineStr">
        <is>
          <t>ALT-DDCO-452-insu1.pdf</t>
        </is>
      </c>
      <c r="B76" s="14" t="inlineStr">
        <is>
          <t>MA1AG2ZA7R5L95500</t>
        </is>
      </c>
      <c r="C76" s="14" t="inlineStr">
        <is>
          <t>Royal Sundaram General Insurance Co. Limited</t>
        </is>
      </c>
      <c r="D76" s="14" t="inlineStr">
        <is>
          <t>VPV0687687000100</t>
        </is>
      </c>
      <c r="E76" s="14" t="inlineStr">
        <is>
          <t>2026-01-31</t>
        </is>
      </c>
      <c r="F76" s="14" t="inlineStr">
        <is>
          <t>2027-01-30</t>
        </is>
      </c>
      <c r="G76" s="14" t="inlineStr">
        <is>
          <t>Yes</t>
        </is>
      </c>
      <c r="H76" s="14" t="inlineStr">
        <is>
          <t>accident, fire, explosion, self-ignition, lightning, theft, burglary, flood, cyclone, storm, earthquake, landslide, riot, strike, terrorism, malicious act, transit</t>
        </is>
      </c>
      <c r="I76" s="14" t="n">
        <v>6950</v>
      </c>
      <c r="J76" s="14">
        <f>IF(F76="","",IFERROR(INT(F76-TODAY()),""))</f>
        <v/>
      </c>
      <c r="K76" s="14">
        <f>IF(J76="","",IF(J76&lt;0,"Expired",IF(J76&lt;=30,"Expiring Soon","Active")))</f>
        <v/>
      </c>
      <c r="L76" s="14" t="n">
        <v>1</v>
      </c>
      <c r="M76" s="14" t="inlineStr">
        <is>
          <t>Annual</t>
        </is>
      </c>
    </row>
    <row r="77">
      <c r="A77" t="inlineStr">
        <is>
          <t>ALT-DDCO-4521.pdf</t>
        </is>
      </c>
      <c r="B77" t="inlineStr">
        <is>
          <t>MA1AG2ZA7R5L95500</t>
        </is>
      </c>
      <c r="C77" t="inlineStr">
        <is>
          <t>Royal Sundaram General Insurance Co. Limited</t>
        </is>
      </c>
      <c r="D77" t="inlineStr">
        <is>
          <t>VPV0687687000100</t>
        </is>
      </c>
      <c r="E77" t="inlineStr">
        <is>
          <t>2026-01-31</t>
        </is>
      </c>
      <c r="F77" t="inlineStr">
        <is>
          <t>2027-01-30</t>
        </is>
      </c>
      <c r="G77" t="inlineStr">
        <is>
          <t>Yes</t>
        </is>
      </c>
      <c r="H77" t="inlineStr">
        <is>
          <t>accident, fire, explosion, self-ignition, lightning, theft, burglary, flood, cyclone, storm, earthquake, landslide, riot, strike, terrorism, malicious act, transit</t>
        </is>
      </c>
      <c r="I77" t="n">
        <v>6950</v>
      </c>
      <c r="J77">
        <f>IF(F77="","",IFERROR(INT(F77-TODAY()),""))</f>
        <v/>
      </c>
      <c r="K77">
        <f>IF(J77="","",IF(J77&lt;0,"Expired",IF(J77&lt;=30,"Expiring Soon","Active")))</f>
        <v/>
      </c>
      <c r="L77" t="n">
        <v>1</v>
      </c>
      <c r="M77" t="inlineStr">
        <is>
          <t>Annual</t>
        </is>
      </c>
    </row>
    <row r="78">
      <c r="A78" s="14" t="inlineStr">
        <is>
          <t>ALT-DDCO-45211.pdf</t>
        </is>
      </c>
      <c r="B78" s="14" t="inlineStr">
        <is>
          <t>MA1AG2ZA7R5L95500</t>
        </is>
      </c>
      <c r="C78" s="14" t="inlineStr">
        <is>
          <t>Royal Sundaram General Insurance Co. Limited</t>
        </is>
      </c>
      <c r="D78" s="14" t="inlineStr">
        <is>
          <t>VPV0687687000100</t>
        </is>
      </c>
      <c r="E78" s="14" t="inlineStr">
        <is>
          <t>2026-01-31</t>
        </is>
      </c>
      <c r="F78" s="14" t="inlineStr">
        <is>
          <t>2027-01-30</t>
        </is>
      </c>
      <c r="G78" s="14" t="inlineStr">
        <is>
          <t>Yes</t>
        </is>
      </c>
      <c r="H78" s="14" t="inlineStr">
        <is>
          <t>accident, fire, explosion, self-ignition, lightning, theft, burglary, flood, cyclone, storm, earthquake, landslide, riot, strike, terrorism, malicious act, transit</t>
        </is>
      </c>
      <c r="I78" s="14" t="n">
        <v>6950</v>
      </c>
      <c r="J78" s="14">
        <f>IF(F78="","",IFERROR(INT(F78-TODAY()),""))</f>
        <v/>
      </c>
      <c r="K78" s="14">
        <f>IF(J78="","",IF(J78&lt;0,"Expired",IF(J78&lt;=30,"Expiring Soon","Active")))</f>
        <v/>
      </c>
      <c r="L78" s="14" t="n">
        <v>1</v>
      </c>
      <c r="M78" s="14" t="inlineStr">
        <is>
          <t>Annual</t>
        </is>
      </c>
    </row>
    <row r="79">
      <c r="A79" t="inlineStr">
        <is>
          <t>ALT-DDCO-4591.pdf</t>
        </is>
      </c>
      <c r="B79" t="inlineStr">
        <is>
          <t>P60A2512200005783</t>
        </is>
      </c>
      <c r="C79" t="inlineStr">
        <is>
          <t>Royal Sundaram General Insurance Co. Limited</t>
        </is>
      </c>
      <c r="D79" t="inlineStr">
        <is>
          <t>VPV0687630000100</t>
        </is>
      </c>
      <c r="E79" t="inlineStr">
        <is>
          <t>2026-01-15</t>
        </is>
      </c>
      <c r="F79" t="inlineStr">
        <is>
          <t>2027-01-14</t>
        </is>
      </c>
      <c r="G79" t="inlineStr">
        <is>
          <t>Yes</t>
        </is>
      </c>
      <c r="H79" t="inlineStr">
        <is>
          <t>accident, fire, explosion, self-ignition, lightning, theft, burglary, flood, cyclone, storm, earthquake, landslide, riot, strike, terrorism, malicious act, transit</t>
        </is>
      </c>
      <c r="I79" t="n">
        <v>7101</v>
      </c>
      <c r="J79">
        <f>IF(F79="","",IFERROR(INT(F79-TODAY()),""))</f>
        <v/>
      </c>
      <c r="K79">
        <f>IF(J79="","",IF(J79&lt;0,"Expired",IF(J79&lt;=30,"Expiring Soon","Active")))</f>
        <v/>
      </c>
      <c r="L79" t="n">
        <v>1</v>
      </c>
      <c r="M79" t="inlineStr">
        <is>
          <t>Annual</t>
        </is>
      </c>
    </row>
    <row r="80">
      <c r="A80" s="14" t="inlineStr">
        <is>
          <t>ALT-DDCO-4601.pdf</t>
        </is>
      </c>
      <c r="B80" s="14" t="inlineStr">
        <is>
          <t>P60A2512200005765</t>
        </is>
      </c>
      <c r="C80" s="14" t="inlineStr">
        <is>
          <t>Royal Sundaram General Insurance Co. Limited</t>
        </is>
      </c>
      <c r="D80" s="14" t="inlineStr"/>
      <c r="E80" s="14" t="inlineStr">
        <is>
          <t>2026-01-17</t>
        </is>
      </c>
      <c r="F80" s="14" t="inlineStr">
        <is>
          <t>2027-01-16</t>
        </is>
      </c>
      <c r="G80" s="14" t="inlineStr">
        <is>
          <t>Yes</t>
        </is>
      </c>
      <c r="H80" s="14" t="inlineStr">
        <is>
          <t>accident, fire, explosion, self-ignition, lightning, theft, burglary, flood, cyclone, storm, earthquake, landslide, riot, strike, terrorism, malicious act, transit</t>
        </is>
      </c>
      <c r="I80" s="14" t="n">
        <v>7101.24</v>
      </c>
      <c r="J80" s="14">
        <f>IF(F80="","",IFERROR(INT(F80-TODAY()),""))</f>
        <v/>
      </c>
      <c r="K80" s="14">
        <f>IF(J80="","",IF(J80&lt;0,"Expired",IF(J80&lt;=30,"Expiring Soon","Active")))</f>
        <v/>
      </c>
      <c r="L80" s="14" t="n">
        <v>1</v>
      </c>
      <c r="M80" s="14" t="inlineStr">
        <is>
          <t>Annual</t>
        </is>
      </c>
    </row>
    <row r="81">
      <c r="A81" t="inlineStr">
        <is>
          <t>ALT-DDCO-4621.pdf</t>
        </is>
      </c>
      <c r="B81" t="inlineStr">
        <is>
          <t>P60A2512200005796</t>
        </is>
      </c>
      <c r="C81" t="inlineStr">
        <is>
          <t>Royal Sundaram General Insurance Co. Limited</t>
        </is>
      </c>
      <c r="D81" t="inlineStr">
        <is>
          <t>VPV0687660000100</t>
        </is>
      </c>
      <c r="E81" t="inlineStr">
        <is>
          <t>2026-01-16</t>
        </is>
      </c>
      <c r="F81" t="inlineStr">
        <is>
          <t>2027-01-15</t>
        </is>
      </c>
      <c r="G81" t="inlineStr">
        <is>
          <t>Yes</t>
        </is>
      </c>
      <c r="H81" t="inlineStr">
        <is>
          <t>accident, fire, explosion, self-ignition, lightning, theft, burglary, flood, cyclone, storm, earthquake, landslide, riot, strike, terrorism, malicious act, transit</t>
        </is>
      </c>
      <c r="I81" t="n">
        <v>7101</v>
      </c>
      <c r="J81">
        <f>IF(F81="","",IFERROR(INT(F81-TODAY()),""))</f>
        <v/>
      </c>
      <c r="K81">
        <f>IF(J81="","",IF(J81&lt;0,"Expired",IF(J81&lt;=30,"Expiring Soon","Active")))</f>
        <v/>
      </c>
      <c r="L81" t="n">
        <v>1</v>
      </c>
      <c r="M81" t="inlineStr">
        <is>
          <t>Annual</t>
        </is>
      </c>
    </row>
    <row r="82">
      <c r="A82" s="14" t="inlineStr">
        <is>
          <t>ALT-DDCO-46211.pdf</t>
        </is>
      </c>
      <c r="B82" s="14" t="inlineStr">
        <is>
          <t>P60A2512200005796</t>
        </is>
      </c>
      <c r="C82" s="14" t="inlineStr">
        <is>
          <t>Royal Sundaram General Insurance Co. Limited</t>
        </is>
      </c>
      <c r="D82" s="14" t="inlineStr">
        <is>
          <t>VPV0687660000100</t>
        </is>
      </c>
      <c r="E82" s="14" t="inlineStr">
        <is>
          <t>2026-01-16</t>
        </is>
      </c>
      <c r="F82" s="14" t="inlineStr">
        <is>
          <t>2027-01-15</t>
        </is>
      </c>
      <c r="G82" s="14" t="inlineStr">
        <is>
          <t>Yes</t>
        </is>
      </c>
      <c r="H82" s="14" t="inlineStr">
        <is>
          <t>accident, fire, explosion, self-ignition, lightning, theft, burglary</t>
        </is>
      </c>
      <c r="I82" s="14" t="n">
        <v>7101</v>
      </c>
      <c r="J82" s="14">
        <f>IF(F82="","",IFERROR(INT(F82-TODAY()),""))</f>
        <v/>
      </c>
      <c r="K82" s="14">
        <f>IF(J82="","",IF(J82&lt;0,"Expired",IF(J82&lt;=30,"Expiring Soon","Active")))</f>
        <v/>
      </c>
      <c r="L82" s="14" t="n">
        <v>1</v>
      </c>
      <c r="M82" s="14" t="inlineStr">
        <is>
          <t>Annual</t>
        </is>
      </c>
    </row>
    <row r="83">
      <c r="A83" t="inlineStr">
        <is>
          <t>ALT-DDCO-4661.pdf</t>
        </is>
      </c>
      <c r="B83" t="inlineStr">
        <is>
          <t>MBX0009TF3K466280</t>
        </is>
      </c>
      <c r="C83" t="inlineStr">
        <is>
          <t>Royal Sundaram General Insurance Co. Limited</t>
        </is>
      </c>
      <c r="D83" t="inlineStr">
        <is>
          <t>VPV0692654000100</t>
        </is>
      </c>
      <c r="E83" t="inlineStr">
        <is>
          <t>2026-02-12</t>
        </is>
      </c>
      <c r="F83" t="inlineStr">
        <is>
          <t>2027-02-11</t>
        </is>
      </c>
      <c r="G83" t="inlineStr">
        <is>
          <t>Yes</t>
        </is>
      </c>
      <c r="H83" t="inlineStr">
        <is>
          <t>accident</t>
        </is>
      </c>
      <c r="I83" t="n">
        <v>7353.76</v>
      </c>
      <c r="J83">
        <f>IF(F83="","",IFERROR(INT(F83-TODAY()),""))</f>
        <v/>
      </c>
      <c r="K83">
        <f>IF(J83="","",IF(J83&lt;0,"Expired",IF(J83&lt;=30,"Expiring Soon","Active")))</f>
        <v/>
      </c>
      <c r="L83" t="n">
        <v>1</v>
      </c>
      <c r="M83" t="inlineStr">
        <is>
          <t>Annual</t>
        </is>
      </c>
    </row>
    <row r="84">
      <c r="A84" s="14" t="inlineStr">
        <is>
          <t>ALT-DDCO-4671.pdf</t>
        </is>
      </c>
      <c r="B84" s="14" t="inlineStr">
        <is>
          <t>P60A2512200005756</t>
        </is>
      </c>
      <c r="C84" s="14" t="inlineStr">
        <is>
          <t>Royal Sundaram General Insurance Co. Limited</t>
        </is>
      </c>
      <c r="D84" s="14" t="inlineStr">
        <is>
          <t>VPV0687632000100</t>
        </is>
      </c>
      <c r="E84" s="14" t="inlineStr">
        <is>
          <t>2026-01-17</t>
        </is>
      </c>
      <c r="F84" s="14" t="inlineStr">
        <is>
          <t>2027-01-16</t>
        </is>
      </c>
      <c r="G84" s="14" t="inlineStr">
        <is>
          <t>Yes</t>
        </is>
      </c>
      <c r="H84" s="14" t="inlineStr">
        <is>
          <t>accident, fire, explosion, self-ignition, lightning, theft, burglary</t>
        </is>
      </c>
      <c r="I84" s="14" t="n">
        <v>7101</v>
      </c>
      <c r="J84" s="14">
        <f>IF(F84="","",IFERROR(INT(F84-TODAY()),""))</f>
        <v/>
      </c>
      <c r="K84" s="14">
        <f>IF(J84="","",IF(J84&lt;0,"Expired",IF(J84&lt;=30,"Expiring Soon","Active")))</f>
        <v/>
      </c>
      <c r="L84" s="14" t="n">
        <v>1</v>
      </c>
      <c r="M84" s="14" t="inlineStr">
        <is>
          <t>Annual</t>
        </is>
      </c>
    </row>
    <row r="85">
      <c r="A85" t="inlineStr">
        <is>
          <t>ALT-DDCO-4731.pdf</t>
        </is>
      </c>
      <c r="B85" t="inlineStr">
        <is>
          <t>MBX0009TF3K460981</t>
        </is>
      </c>
      <c r="C85" t="inlineStr">
        <is>
          <t>Royal Sundaram General Insurance Co. Limited</t>
        </is>
      </c>
      <c r="D85" t="inlineStr">
        <is>
          <t>VPV0687643000100</t>
        </is>
      </c>
      <c r="E85" t="inlineStr">
        <is>
          <t>2026-01-22</t>
        </is>
      </c>
      <c r="F85" t="inlineStr">
        <is>
          <t>2027-01-21</t>
        </is>
      </c>
      <c r="G85" t="inlineStr">
        <is>
          <t>Yes</t>
        </is>
      </c>
      <c r="H85" t="inlineStr">
        <is>
          <t>accident, fire, explosion, self-ignition, lightning, theft, burglary, flood, cyclone, storm, earthquake, landslide, riot, strike, terrorism, malicious act, transit</t>
        </is>
      </c>
      <c r="I85" t="n">
        <v>7017</v>
      </c>
      <c r="J85">
        <f>IF(F85="","",IFERROR(INT(F85-TODAY()),""))</f>
        <v/>
      </c>
      <c r="K85">
        <f>IF(J85="","",IF(J85&lt;0,"Expired",IF(J85&lt;=30,"Expiring Soon","Active")))</f>
        <v/>
      </c>
      <c r="L85" t="n">
        <v>1</v>
      </c>
      <c r="M85" t="inlineStr">
        <is>
          <t>Annual</t>
        </is>
      </c>
    </row>
    <row r="86">
      <c r="A86" s="14" t="inlineStr">
        <is>
          <t>ALT-DDCO-47311.pdf</t>
        </is>
      </c>
      <c r="B86" s="14" t="inlineStr">
        <is>
          <t>MBX0009TF3K460981</t>
        </is>
      </c>
      <c r="C86" s="14" t="inlineStr">
        <is>
          <t>Royal Sundaram General Insurance Co. Limited</t>
        </is>
      </c>
      <c r="D86" s="14" t="inlineStr">
        <is>
          <t>VPV0687643000100</t>
        </is>
      </c>
      <c r="E86" s="14" t="inlineStr">
        <is>
          <t>2026-01-22</t>
        </is>
      </c>
      <c r="F86" s="14" t="inlineStr">
        <is>
          <t>2027-01-21</t>
        </is>
      </c>
      <c r="G86" s="14" t="inlineStr">
        <is>
          <t>Yes</t>
        </is>
      </c>
      <c r="H86" s="14" t="inlineStr">
        <is>
          <t>accident, fire, explosion, self-ignition, lightning, theft, burglary, flood, cyclone, storm, earthquake, landslide, riot, strike, terrorism, malicious act, transit</t>
        </is>
      </c>
      <c r="I86" s="14" t="n">
        <v>7017</v>
      </c>
      <c r="J86" s="14">
        <f>IF(F86="","",IFERROR(INT(F86-TODAY()),""))</f>
        <v/>
      </c>
      <c r="K86" s="14">
        <f>IF(J86="","",IF(J86&lt;0,"Expired",IF(J86&lt;=30,"Expiring Soon","Active")))</f>
        <v/>
      </c>
      <c r="L86" s="14" t="n">
        <v>1</v>
      </c>
      <c r="M86" s="14" t="inlineStr">
        <is>
          <t>Annual</t>
        </is>
      </c>
    </row>
    <row r="87">
      <c r="A87" t="inlineStr">
        <is>
          <t>ALT-DDCO-5061.pdf</t>
        </is>
      </c>
      <c r="B87" t="inlineStr">
        <is>
          <t>MBX0009TF4A477947</t>
        </is>
      </c>
      <c r="C87" t="inlineStr">
        <is>
          <t>Royal Sundaram General Insurance Co. Limited</t>
        </is>
      </c>
      <c r="D87" t="inlineStr">
        <is>
          <t>VPV0687646000100</t>
        </is>
      </c>
      <c r="E87" t="inlineStr">
        <is>
          <t>2026-01-23</t>
        </is>
      </c>
      <c r="F87" t="inlineStr">
        <is>
          <t>2027-01-22</t>
        </is>
      </c>
      <c r="G87" t="inlineStr">
        <is>
          <t>Yes</t>
        </is>
      </c>
      <c r="H87" t="inlineStr">
        <is>
          <t>accident, fire, explosion, self-ignition, lightning, theft, burglary</t>
        </is>
      </c>
      <c r="I87" t="n">
        <v>7017</v>
      </c>
      <c r="J87">
        <f>IF(F87="","",IFERROR(INT(F87-TODAY()),""))</f>
        <v/>
      </c>
      <c r="K87">
        <f>IF(J87="","",IF(J87&lt;0,"Expired",IF(J87&lt;=30,"Expiring Soon","Active")))</f>
        <v/>
      </c>
      <c r="L87" t="n">
        <v>1</v>
      </c>
      <c r="M87" t="inlineStr">
        <is>
          <t>Annual</t>
        </is>
      </c>
    </row>
    <row r="88">
      <c r="A88" s="14" t="inlineStr">
        <is>
          <t>ALT-DDCO-5071.pdf</t>
        </is>
      </c>
      <c r="B88" s="14" t="inlineStr">
        <is>
          <t>P60N2412200005428</t>
        </is>
      </c>
      <c r="C88" s="14" t="inlineStr">
        <is>
          <t>Royal Sundaram General Insurance Co. Limited</t>
        </is>
      </c>
      <c r="D88" s="14" t="inlineStr">
        <is>
          <t>VPV0687627000100</t>
        </is>
      </c>
      <c r="E88" s="14" t="inlineStr">
        <is>
          <t>2026-01-20</t>
        </is>
      </c>
      <c r="F88" s="14" t="inlineStr">
        <is>
          <t>2027-01-19</t>
        </is>
      </c>
      <c r="G88" s="14" t="inlineStr">
        <is>
          <t>Yes</t>
        </is>
      </c>
      <c r="H88" s="14" t="inlineStr">
        <is>
          <t>accident, fire, explosion, self-ignition, lightning, theft, burglary</t>
        </is>
      </c>
      <c r="I88" s="14" t="n">
        <v>7101</v>
      </c>
      <c r="J88" s="14">
        <f>IF(F88="","",IFERROR(INT(F88-TODAY()),""))</f>
        <v/>
      </c>
      <c r="K88" s="14">
        <f>IF(J88="","",IF(J88&lt;0,"Expired",IF(J88&lt;=30,"Expiring Soon","Active")))</f>
        <v/>
      </c>
      <c r="L88" s="14" t="n">
        <v>1</v>
      </c>
      <c r="M88" s="14" t="inlineStr">
        <is>
          <t>Annual</t>
        </is>
      </c>
    </row>
    <row r="89">
      <c r="A89" t="inlineStr">
        <is>
          <t>ALT-DDCO-5091.pdf</t>
        </is>
      </c>
      <c r="B89" t="inlineStr">
        <is>
          <t>MA1AG2ZA7S5A75722</t>
        </is>
      </c>
      <c r="C89" t="inlineStr">
        <is>
          <t>Royal Sundaram General Insurance Co. Limited</t>
        </is>
      </c>
      <c r="D89" t="inlineStr">
        <is>
          <t>VPV0692655000100</t>
        </is>
      </c>
      <c r="E89" t="inlineStr">
        <is>
          <t>2026-02-06</t>
        </is>
      </c>
      <c r="F89" t="inlineStr">
        <is>
          <t>2027-02-05</t>
        </is>
      </c>
      <c r="G89" t="inlineStr">
        <is>
          <t>Yes</t>
        </is>
      </c>
      <c r="H89" t="inlineStr">
        <is>
          <t>accident, fire, explosion, self-ignition, lightning, theft, burglary</t>
        </is>
      </c>
      <c r="I89" t="n">
        <v>7151</v>
      </c>
      <c r="J89">
        <f>IF(F89="","",IFERROR(INT(F89-TODAY()),""))</f>
        <v/>
      </c>
      <c r="K89">
        <f>IF(J89="","",IF(J89&lt;0,"Expired",IF(J89&lt;=30,"Expiring Soon","Active")))</f>
        <v/>
      </c>
      <c r="L89" t="n">
        <v>1</v>
      </c>
      <c r="M89" t="inlineStr">
        <is>
          <t>Annual</t>
        </is>
      </c>
    </row>
    <row r="90">
      <c r="A90" s="14" t="inlineStr">
        <is>
          <t>ALT-DDCO-5151.pdf</t>
        </is>
      </c>
      <c r="B90" s="14" t="inlineStr">
        <is>
          <t>MA1AG2ZA7RJM71216</t>
        </is>
      </c>
      <c r="C90" s="14" t="inlineStr">
        <is>
          <t>Royal Sundaram General Insurance Co. Limited</t>
        </is>
      </c>
      <c r="D90" s="14" t="inlineStr">
        <is>
          <t>VPV0695084000100</t>
        </is>
      </c>
      <c r="E90" s="14" t="inlineStr">
        <is>
          <t>2026-02-17</t>
        </is>
      </c>
      <c r="F90" s="14" t="inlineStr">
        <is>
          <t>2027-02-16</t>
        </is>
      </c>
      <c r="G90" s="14" t="inlineStr">
        <is>
          <t>Yes</t>
        </is>
      </c>
      <c r="H90" s="14" t="inlineStr">
        <is>
          <t>accident, fire, explosion, self-ignition, lightning, theft, burglary</t>
        </is>
      </c>
      <c r="I90" s="14" t="n">
        <v>6962</v>
      </c>
      <c r="J90" s="14">
        <f>IF(F90="","",IFERROR(INT(F90-TODAY()),""))</f>
        <v/>
      </c>
      <c r="K90" s="14">
        <f>IF(J90="","",IF(J90&lt;0,"Expired",IF(J90&lt;=30,"Expiring Soon","Active")))</f>
        <v/>
      </c>
      <c r="L90" s="14" t="n">
        <v>1</v>
      </c>
      <c r="M90" s="14" t="inlineStr">
        <is>
          <t>Annual</t>
        </is>
      </c>
    </row>
    <row r="91">
      <c r="A91" t="inlineStr">
        <is>
          <t>ALT-DDCO-5181.pdf</t>
        </is>
      </c>
      <c r="B91" t="inlineStr">
        <is>
          <t>MA1AG2ZA7S5A75251</t>
        </is>
      </c>
      <c r="C91" t="inlineStr">
        <is>
          <t>Royal Sundaram General Insurance Co. Limited</t>
        </is>
      </c>
      <c r="D91" t="inlineStr">
        <is>
          <t>VPV0698772000100</t>
        </is>
      </c>
      <c r="E91" t="inlineStr">
        <is>
          <t>2026-03-06</t>
        </is>
      </c>
      <c r="F91" t="inlineStr">
        <is>
          <t>2027-03-05</t>
        </is>
      </c>
      <c r="G91" t="inlineStr">
        <is>
          <t>Yes</t>
        </is>
      </c>
      <c r="H91" t="inlineStr">
        <is>
          <t>accident, fire, explosion, self-ignition, lightning, theft, burglary, flood, cyclone, storm, earthquake, landslide, riot, strike, terrorism, malicious act, transit</t>
        </is>
      </c>
      <c r="I91" t="n">
        <v>6757.86</v>
      </c>
      <c r="J91">
        <f>IF(F91="","",IFERROR(INT(F91-TODAY()),""))</f>
        <v/>
      </c>
      <c r="K91">
        <f>IF(J91="","",IF(J91&lt;0,"Expired",IF(J91&lt;=30,"Expiring Soon","Active")))</f>
        <v/>
      </c>
      <c r="L91" t="n">
        <v>1</v>
      </c>
      <c r="M91" t="inlineStr">
        <is>
          <t>Annual</t>
        </is>
      </c>
    </row>
    <row r="92">
      <c r="A92" s="14" t="inlineStr">
        <is>
          <t>ALT-DDCO-6041.pdf</t>
        </is>
      </c>
      <c r="B92" s="14" t="inlineStr">
        <is>
          <t>MA1AG2ZA7R5M68696</t>
        </is>
      </c>
      <c r="C92" s="14" t="inlineStr">
        <is>
          <t>Royal Sundaram General Insurance Co. Limited</t>
        </is>
      </c>
      <c r="D92" s="14" t="inlineStr">
        <is>
          <t>VPV0687679000100</t>
        </is>
      </c>
      <c r="E92" s="14" t="inlineStr">
        <is>
          <t>2026-01-27</t>
        </is>
      </c>
      <c r="F92" s="14" t="inlineStr">
        <is>
          <t>2027-01-26</t>
        </is>
      </c>
      <c r="G92" s="14" t="inlineStr">
        <is>
          <t>Yes</t>
        </is>
      </c>
      <c r="H92" s="14" t="inlineStr">
        <is>
          <t>accident, fire, explosion, self-ignition, lightning, theft, burglary, flood, cyclone, storm, earthquake, landslide, riot, strike, terrorism, malicious act, transit</t>
        </is>
      </c>
      <c r="I92" s="14" t="n">
        <v>7150.8</v>
      </c>
      <c r="J92" s="14">
        <f>IF(F92="","",IFERROR(INT(F92-TODAY()),""))</f>
        <v/>
      </c>
      <c r="K92" s="14">
        <f>IF(J92="","",IF(J92&lt;0,"Expired",IF(J92&lt;=30,"Expiring Soon","Active")))</f>
        <v/>
      </c>
      <c r="L92" s="14" t="n">
        <v>1</v>
      </c>
      <c r="M92" s="14" t="inlineStr">
        <is>
          <t>Annual</t>
        </is>
      </c>
    </row>
    <row r="93">
      <c r="A93" t="inlineStr">
        <is>
          <t>ALT-DDCO-6101.pdf</t>
        </is>
      </c>
      <c r="B93" t="inlineStr">
        <is>
          <t>MA1AG2ZA7S5A79772</t>
        </is>
      </c>
      <c r="C93" t="inlineStr">
        <is>
          <t>Royal Sundaram General Insurance Co. Limited</t>
        </is>
      </c>
      <c r="D93" t="inlineStr">
        <is>
          <t>VPV0692660000100</t>
        </is>
      </c>
      <c r="E93" t="inlineStr">
        <is>
          <t>2026-02-14</t>
        </is>
      </c>
      <c r="F93" t="inlineStr">
        <is>
          <t>2027-02-13</t>
        </is>
      </c>
      <c r="G93" t="inlineStr">
        <is>
          <t>Yes</t>
        </is>
      </c>
      <c r="H93" t="inlineStr">
        <is>
          <t>accident, fire, explosion, self-ignition, lightning, theft, burglary, flood, cyclone, storm, earthquake, landslide, riot, strike, terrorism, malicious act, transit</t>
        </is>
      </c>
      <c r="I93" t="n">
        <v>7151</v>
      </c>
      <c r="J93">
        <f>IF(F93="","",IFERROR(INT(F93-TODAY()),""))</f>
        <v/>
      </c>
      <c r="K93">
        <f>IF(J93="","",IF(J93&lt;0,"Expired",IF(J93&lt;=30,"Expiring Soon","Active")))</f>
        <v/>
      </c>
      <c r="L93" t="n">
        <v>1</v>
      </c>
      <c r="M93" t="inlineStr">
        <is>
          <t>Annual</t>
        </is>
      </c>
    </row>
    <row r="94">
      <c r="A94" s="14" t="inlineStr">
        <is>
          <t>ALT-DDCO-6411.pdf</t>
        </is>
      </c>
      <c r="B94" s="14" t="inlineStr">
        <is>
          <t>MA1AG2ZA7R5L94021</t>
        </is>
      </c>
      <c r="C94" s="14" t="inlineStr">
        <is>
          <t>Royal Sundaram General Insurance Co. Limited</t>
        </is>
      </c>
      <c r="D94" s="14" t="inlineStr">
        <is>
          <t>VPV0692656000100</t>
        </is>
      </c>
      <c r="E94" s="14" t="inlineStr">
        <is>
          <t>2026-02-08</t>
        </is>
      </c>
      <c r="F94" s="14" t="inlineStr">
        <is>
          <t>2027-02-07</t>
        </is>
      </c>
      <c r="G94" s="14" t="inlineStr">
        <is>
          <t>Yes</t>
        </is>
      </c>
      <c r="H94" s="14" t="inlineStr">
        <is>
          <t>accident, fire, explosion, self-ignition, lightning, theft, burglary, flood, cyclone, storm, earthquake, landslide, riot, strike, terrorism, malicious act, transit</t>
        </is>
      </c>
      <c r="I94" s="14" t="n">
        <v>7304</v>
      </c>
      <c r="J94" s="14">
        <f>IF(F94="","",IFERROR(INT(F94-TODAY()),""))</f>
        <v/>
      </c>
      <c r="K94" s="14">
        <f>IF(J94="","",IF(J94&lt;0,"Expired",IF(J94&lt;=30,"Expiring Soon","Active")))</f>
        <v/>
      </c>
      <c r="L94" s="14" t="n">
        <v>1</v>
      </c>
      <c r="M94" s="14" t="inlineStr">
        <is>
          <t>Annual</t>
        </is>
      </c>
    </row>
    <row r="95">
      <c r="A95" t="inlineStr">
        <is>
          <t>ALT-DDCO-6481.pdf</t>
        </is>
      </c>
      <c r="B95" t="inlineStr">
        <is>
          <t>MA1AG2ZA7S5A74319</t>
        </is>
      </c>
      <c r="C95" t="inlineStr">
        <is>
          <t>Royal Sundaram General Insurance Co. Limited</t>
        </is>
      </c>
      <c r="D95" t="inlineStr">
        <is>
          <t>VPV0695087000100</t>
        </is>
      </c>
      <c r="E95" t="inlineStr">
        <is>
          <t>2026-02-25</t>
        </is>
      </c>
      <c r="F95" t="inlineStr">
        <is>
          <t>2027-02-24</t>
        </is>
      </c>
      <c r="G95" t="inlineStr">
        <is>
          <t>Yes</t>
        </is>
      </c>
      <c r="H95" t="inlineStr">
        <is>
          <t>accident, fire, explosion, self-ignition, lightning, theft, burglary</t>
        </is>
      </c>
      <c r="I95" t="n">
        <v>6962</v>
      </c>
      <c r="J95">
        <f>IF(F95="","",IFERROR(INT(F95-TODAY()),""))</f>
        <v/>
      </c>
      <c r="K95">
        <f>IF(J95="","",IF(J95&lt;0,"Expired",IF(J95&lt;=30,"Expiring Soon","Active")))</f>
        <v/>
      </c>
      <c r="L95" t="n">
        <v>1</v>
      </c>
      <c r="M95" t="inlineStr">
        <is>
          <t>Annual</t>
        </is>
      </c>
    </row>
    <row r="96">
      <c r="A96" s="14" t="inlineStr">
        <is>
          <t>ALT-DDCO-6701.pdf</t>
        </is>
      </c>
      <c r="B96" s="14" t="inlineStr">
        <is>
          <t>MA1AG2ZA7S5A74320</t>
        </is>
      </c>
      <c r="C96" s="14" t="inlineStr">
        <is>
          <t>Royal Sundaram General Insurance Co. Limited</t>
        </is>
      </c>
      <c r="D96" s="14" t="inlineStr">
        <is>
          <t>VPV0692657000100</t>
        </is>
      </c>
      <c r="E96" s="14" t="inlineStr">
        <is>
          <t>2026-02-15</t>
        </is>
      </c>
      <c r="F96" s="14" t="inlineStr">
        <is>
          <t>2027-02-14</t>
        </is>
      </c>
      <c r="G96" s="14" t="inlineStr">
        <is>
          <t>Yes</t>
        </is>
      </c>
      <c r="H96" s="14" t="inlineStr">
        <is>
          <t>accident, fire, explosion, self-ignition, lightning, theft, burglary, flood, cyclone, storm, earthquake, landslide, riot, strike, terrorism, malicious act, transit</t>
        </is>
      </c>
      <c r="I96" s="14" t="n">
        <v>7151</v>
      </c>
      <c r="J96" s="14">
        <f>IF(F96="","",IFERROR(INT(F96-TODAY()),""))</f>
        <v/>
      </c>
      <c r="K96" s="14">
        <f>IF(J96="","",IF(J96&lt;0,"Expired",IF(J96&lt;=30,"Expiring Soon","Active")))</f>
        <v/>
      </c>
      <c r="L96" s="14" t="n">
        <v>1</v>
      </c>
      <c r="M96" s="14" t="inlineStr">
        <is>
          <t>Annual</t>
        </is>
      </c>
    </row>
    <row r="97">
      <c r="A97" t="inlineStr">
        <is>
          <t>ALT-DDCO-67011.pdf</t>
        </is>
      </c>
      <c r="B97" t="inlineStr">
        <is>
          <t>MA1AG2ZA7S5A74320</t>
        </is>
      </c>
      <c r="C97" t="inlineStr">
        <is>
          <t>Royal Sundaram General Insurance Co. Limited</t>
        </is>
      </c>
      <c r="D97" t="inlineStr">
        <is>
          <t>VPV0692657000100</t>
        </is>
      </c>
      <c r="E97" t="inlineStr">
        <is>
          <t>2026-02-15</t>
        </is>
      </c>
      <c r="F97" t="inlineStr">
        <is>
          <t>2027-02-14</t>
        </is>
      </c>
      <c r="G97" t="inlineStr">
        <is>
          <t>Yes</t>
        </is>
      </c>
      <c r="H97" t="inlineStr">
        <is>
          <t>accident, fire, explosion, self-ignition, lightning, theft, burglary, flood, cyclone, storm, earthquake, landslide, riot, strike, terrorism, malicious act, transit</t>
        </is>
      </c>
      <c r="I97" t="n">
        <v>7151</v>
      </c>
      <c r="J97">
        <f>IF(F97="","",IFERROR(INT(F97-TODAY()),""))</f>
        <v/>
      </c>
      <c r="K97">
        <f>IF(J97="","",IF(J97&lt;0,"Expired",IF(J97&lt;=30,"Expiring Soon","Active")))</f>
        <v/>
      </c>
      <c r="L97" t="n">
        <v>1</v>
      </c>
      <c r="M97" t="inlineStr">
        <is>
          <t>Annual</t>
        </is>
      </c>
    </row>
    <row r="98">
      <c r="A98" s="14" t="inlineStr">
        <is>
          <t>ALT-DDCO-6841.pdf</t>
        </is>
      </c>
      <c r="B98" s="14" t="inlineStr">
        <is>
          <t>MD6EVM1D0S4B00008</t>
        </is>
      </c>
      <c r="C98" s="14" t="inlineStr">
        <is>
          <t>Royal Sundaram General Insurance Co. Limited</t>
        </is>
      </c>
      <c r="D98" s="14" t="inlineStr">
        <is>
          <t>VPV0695088000100</t>
        </is>
      </c>
      <c r="E98" s="14" t="inlineStr">
        <is>
          <t>2026-02-26</t>
        </is>
      </c>
      <c r="F98" s="14" t="inlineStr">
        <is>
          <t>2027-02-25</t>
        </is>
      </c>
      <c r="G98" s="14" t="inlineStr">
        <is>
          <t>Yes</t>
        </is>
      </c>
      <c r="H98" s="14" t="inlineStr">
        <is>
          <t>accident, fire, explosion, self-ignition, lightning, theft, burglary, flood, cyclone, storm, earthquake, landslide, riot, strike, terrorism, malicious act, transit</t>
        </is>
      </c>
      <c r="I98" s="14" t="n">
        <v>6711</v>
      </c>
      <c r="J98" s="14">
        <f>IF(F98="","",IFERROR(INT(F98-TODAY()),""))</f>
        <v/>
      </c>
      <c r="K98" s="14">
        <f>IF(J98="","",IF(J98&lt;0,"Expired",IF(J98&lt;=30,"Expiring Soon","Active")))</f>
        <v/>
      </c>
      <c r="L98" s="14" t="n">
        <v>1</v>
      </c>
      <c r="M98" s="14" t="inlineStr">
        <is>
          <t>Annual</t>
        </is>
      </c>
    </row>
    <row r="99">
      <c r="A99" t="inlineStr">
        <is>
          <t>ALT-DDCO-7361.pdf</t>
        </is>
      </c>
      <c r="B99" t="inlineStr">
        <is>
          <t>MA1AG2ZA7S5A76851</t>
        </is>
      </c>
      <c r="C99" t="inlineStr">
        <is>
          <t>Royal Sundaram General Insurance Co. Limited</t>
        </is>
      </c>
      <c r="D99" t="inlineStr">
        <is>
          <t>VPV0695091000100</t>
        </is>
      </c>
      <c r="E99" t="inlineStr">
        <is>
          <t>2026-02-21</t>
        </is>
      </c>
      <c r="F99" t="inlineStr">
        <is>
          <t>2027-02-20</t>
        </is>
      </c>
      <c r="G99" t="inlineStr">
        <is>
          <t>Yes</t>
        </is>
      </c>
      <c r="H99" t="inlineStr">
        <is>
          <t>accident, fire, explosion, self-ignition, lightning, theft, burglary</t>
        </is>
      </c>
      <c r="I99" t="n">
        <v>6757.86</v>
      </c>
      <c r="J99">
        <f>IF(F99="","",IFERROR(INT(F99-TODAY()),""))</f>
        <v/>
      </c>
      <c r="K99">
        <f>IF(J99="","",IF(J99&lt;0,"Expired",IF(J99&lt;=30,"Expiring Soon","Active")))</f>
        <v/>
      </c>
      <c r="L99" t="n">
        <v>1</v>
      </c>
      <c r="M99" t="inlineStr">
        <is>
          <t>Annual</t>
        </is>
      </c>
    </row>
    <row r="100">
      <c r="A100" s="14" t="inlineStr">
        <is>
          <t>ALT-DDCO-7681.pdf</t>
        </is>
      </c>
      <c r="B100" s="14" t="inlineStr">
        <is>
          <t>MA1AG2ZA7S5A76843</t>
        </is>
      </c>
      <c r="C100" s="14" t="inlineStr">
        <is>
          <t>Royal Sundaram General Insurance Co. Limited</t>
        </is>
      </c>
      <c r="D100" s="14" t="inlineStr">
        <is>
          <t>VPV0695092000100</t>
        </is>
      </c>
      <c r="E100" s="14" t="inlineStr">
        <is>
          <t>2026-02-21</t>
        </is>
      </c>
      <c r="F100" s="14" t="inlineStr">
        <is>
          <t>2027-02-20</t>
        </is>
      </c>
      <c r="G100" s="14" t="inlineStr">
        <is>
          <t>Yes</t>
        </is>
      </c>
      <c r="H100" s="14" t="inlineStr">
        <is>
          <t>accident, fire, explosion, self-ignition, lightning, theft, burglary</t>
        </is>
      </c>
      <c r="I100" s="14" t="n">
        <v>6757.86</v>
      </c>
      <c r="J100" s="14">
        <f>IF(F100="","",IFERROR(INT(F100-TODAY()),""))</f>
        <v/>
      </c>
      <c r="K100" s="14">
        <f>IF(J100="","",IF(J100&lt;0,"Expired",IF(J100&lt;=30,"Expiring Soon","Active")))</f>
        <v/>
      </c>
      <c r="L100" s="14" t="n">
        <v>1</v>
      </c>
      <c r="M100" s="14" t="inlineStr">
        <is>
          <t>Annual</t>
        </is>
      </c>
    </row>
    <row r="101">
      <c r="A101" t="inlineStr">
        <is>
          <t>ALT-DDCO-76811.pdf</t>
        </is>
      </c>
      <c r="B101" t="inlineStr">
        <is>
          <t>MA1AG2ZA7S5A76843</t>
        </is>
      </c>
      <c r="C101" t="inlineStr">
        <is>
          <t>Royal Sundaram General Insurance Co. Limited</t>
        </is>
      </c>
      <c r="D101" t="inlineStr">
        <is>
          <t>VPV0695092000100</t>
        </is>
      </c>
      <c r="E101" t="inlineStr">
        <is>
          <t>2026-02-21</t>
        </is>
      </c>
      <c r="F101" t="inlineStr">
        <is>
          <t>2027-02-20</t>
        </is>
      </c>
      <c r="G101" t="inlineStr">
        <is>
          <t>Yes</t>
        </is>
      </c>
      <c r="H101" t="inlineStr">
        <is>
          <t>accident, fire, explosion, self-ignition, lightning, theft, burglary</t>
        </is>
      </c>
      <c r="I101" t="n">
        <v>6757.86</v>
      </c>
      <c r="J101">
        <f>IF(F101="","",IFERROR(INT(F101-TODAY()),""))</f>
        <v/>
      </c>
      <c r="K101">
        <f>IF(J101="","",IF(J101&lt;0,"Expired",IF(J101&lt;=30,"Expiring Soon","Active")))</f>
        <v/>
      </c>
      <c r="L101" t="n">
        <v>1</v>
      </c>
      <c r="M101" t="inlineStr">
        <is>
          <t>Annual</t>
        </is>
      </c>
    </row>
    <row r="102">
      <c r="A102" s="14" t="inlineStr">
        <is>
          <t>ALT-DDCO-7841.pdf</t>
        </is>
      </c>
      <c r="B102" s="14" t="inlineStr">
        <is>
          <t>MA1AG2ZA7S5A78220</t>
        </is>
      </c>
      <c r="C102" s="14" t="inlineStr">
        <is>
          <t>Royal Sundaram General Insurance Co. Limited</t>
        </is>
      </c>
      <c r="D102" s="14" t="inlineStr">
        <is>
          <t>VPV0695095000100</t>
        </is>
      </c>
      <c r="E102" s="14" t="inlineStr">
        <is>
          <t>2026-02-24</t>
        </is>
      </c>
      <c r="F102" s="14" t="inlineStr">
        <is>
          <t>2027-02-23</t>
        </is>
      </c>
      <c r="G102" s="14" t="inlineStr">
        <is>
          <t>Yes</t>
        </is>
      </c>
      <c r="H102" s="14" t="inlineStr">
        <is>
          <t>accident, fire, explosion, self-ignition, lightning, theft, burglary, flood, cyclone, storm, earthquake, landslide, riot, strike, terrorism, malicious act, transit</t>
        </is>
      </c>
      <c r="I102" s="14" t="n">
        <v>6757.86</v>
      </c>
      <c r="J102" s="14">
        <f>IF(F102="","",IFERROR(INT(F102-TODAY()),""))</f>
        <v/>
      </c>
      <c r="K102" s="14">
        <f>IF(J102="","",IF(J102&lt;0,"Expired",IF(J102&lt;=30,"Expiring Soon","Active")))</f>
        <v/>
      </c>
      <c r="L102" s="14" t="n">
        <v>1</v>
      </c>
      <c r="M102" s="14" t="inlineStr">
        <is>
          <t>Annual</t>
        </is>
      </c>
    </row>
    <row r="103">
      <c r="A103" t="inlineStr">
        <is>
          <t>DCO-009.pdf</t>
        </is>
      </c>
      <c r="B103" t="inlineStr">
        <is>
          <t>MD9GED1E24C611195</t>
        </is>
      </c>
      <c r="C103" t="inlineStr">
        <is>
          <t>Royal Sundaram General Insurance Co. Limited</t>
        </is>
      </c>
      <c r="D103" t="inlineStr">
        <is>
          <t>VGC1516345000100</t>
        </is>
      </c>
      <c r="E103" t="inlineStr">
        <is>
          <t>2026-03-22</t>
        </is>
      </c>
      <c r="F103" t="inlineStr">
        <is>
          <t>2027-03-21</t>
        </is>
      </c>
      <c r="G103" t="inlineStr">
        <is>
          <t>Yes</t>
        </is>
      </c>
      <c r="H103" t="inlineStr">
        <is>
          <t>accident, fire, explosion, self-ignition, lightning, theft, burglary, flood, cyclone, storm, earthquake, landslide, riot, strike, terrorism, malicious act, transit</t>
        </is>
      </c>
      <c r="I103" t="n">
        <v>6266</v>
      </c>
      <c r="J103">
        <f>IF(F103="","",IFERROR(INT(F103-TODAY()),""))</f>
        <v/>
      </c>
      <c r="K103">
        <f>IF(J103="","",IF(J103&lt;0,"Expired",IF(J103&lt;=30,"Expiring Soon","Active")))</f>
        <v/>
      </c>
      <c r="L103" t="n">
        <v>1</v>
      </c>
      <c r="M103" t="inlineStr">
        <is>
          <t>Annual</t>
        </is>
      </c>
    </row>
    <row r="104">
      <c r="A104" s="14" t="inlineStr">
        <is>
          <t>DCO-1010.pdf</t>
        </is>
      </c>
      <c r="B104" s="14" t="inlineStr">
        <is>
          <t>MD9GED1E25C611526</t>
        </is>
      </c>
      <c r="C104" s="14" t="inlineStr">
        <is>
          <t>Royal Sundaram General Insurance Co. Limited</t>
        </is>
      </c>
      <c r="D104" s="14" t="inlineStr">
        <is>
          <t>VGC1517147000100</t>
        </is>
      </c>
      <c r="E104" s="14" t="inlineStr">
        <is>
          <t>2026-03-27</t>
        </is>
      </c>
      <c r="F104" s="14" t="inlineStr">
        <is>
          <t>2027-03-26</t>
        </is>
      </c>
      <c r="G104" s="14" t="inlineStr">
        <is>
          <t>Yes</t>
        </is>
      </c>
      <c r="H104" s="14" t="inlineStr">
        <is>
          <t>accident, fire, explosion, self-ignition, lightning, theft, burglary</t>
        </is>
      </c>
      <c r="I104" s="14" t="n">
        <v>5922.63</v>
      </c>
      <c r="J104" s="14">
        <f>IF(F104="","",IFERROR(INT(F104-TODAY()),""))</f>
        <v/>
      </c>
      <c r="K104" s="14">
        <f>IF(J104="","",IF(J104&lt;0,"Expired",IF(J104&lt;=30,"Expiring Soon","Active")))</f>
        <v/>
      </c>
      <c r="L104" s="14" t="n">
        <v>1</v>
      </c>
      <c r="M104" s="14" t="inlineStr">
        <is>
          <t>Annual</t>
        </is>
      </c>
    </row>
    <row r="105">
      <c r="A105" t="inlineStr">
        <is>
          <t>DCO-1049.pdf</t>
        </is>
      </c>
      <c r="B105" t="inlineStr">
        <is>
          <t>MD9GED1E25C611508</t>
        </is>
      </c>
      <c r="C105" t="inlineStr">
        <is>
          <t>Royal Sundaram General Insurance Co. Limited</t>
        </is>
      </c>
      <c r="D105" t="inlineStr">
        <is>
          <t>VGC1517148000100</t>
        </is>
      </c>
      <c r="E105" t="inlineStr">
        <is>
          <t>2026-03-27</t>
        </is>
      </c>
      <c r="F105" t="inlineStr">
        <is>
          <t>2027-03-26</t>
        </is>
      </c>
      <c r="G105" t="inlineStr">
        <is>
          <t>Yes</t>
        </is>
      </c>
      <c r="H105" t="inlineStr">
        <is>
          <t>accident, fire, explosion, self-ignition, lightning, theft, burglary</t>
        </is>
      </c>
      <c r="I105" t="n">
        <v>5922.63</v>
      </c>
      <c r="J105">
        <f>IF(F105="","",IFERROR(INT(F105-TODAY()),""))</f>
        <v/>
      </c>
      <c r="K105">
        <f>IF(J105="","",IF(J105&lt;0,"Expired",IF(J105&lt;=30,"Expiring Soon","Active")))</f>
        <v/>
      </c>
      <c r="L105" t="n">
        <v>1</v>
      </c>
      <c r="M105" t="inlineStr">
        <is>
          <t>Annual</t>
        </is>
      </c>
    </row>
    <row r="106">
      <c r="A106" s="14" t="inlineStr">
        <is>
          <t>DCO-1105.pdf</t>
        </is>
      </c>
      <c r="B106" s="14" t="inlineStr">
        <is>
          <t>MD9GED1E25C611516</t>
        </is>
      </c>
      <c r="C106" s="14" t="inlineStr">
        <is>
          <t>Royal Sundaram General Insurance Co. Limited</t>
        </is>
      </c>
      <c r="D106" s="14" t="inlineStr">
        <is>
          <t>VGC1517150000100</t>
        </is>
      </c>
      <c r="E106" s="14" t="inlineStr">
        <is>
          <t>2026-03-27</t>
        </is>
      </c>
      <c r="F106" s="14" t="inlineStr">
        <is>
          <t>2027-03-26</t>
        </is>
      </c>
      <c r="G106" s="14" t="inlineStr">
        <is>
          <t>Yes</t>
        </is>
      </c>
      <c r="H106" s="14" t="inlineStr">
        <is>
          <t>accident, fire, explosion, self-ignition, lightning, theft, burglary, flood, cyclone, storm, earthquake, landslide, riot, strike, terrorism, malicious act, transit</t>
        </is>
      </c>
      <c r="I106" s="14" t="n">
        <v>5922.63</v>
      </c>
      <c r="J106" s="14">
        <f>IF(F106="","",IFERROR(INT(F106-TODAY()),""))</f>
        <v/>
      </c>
      <c r="K106" s="14">
        <f>IF(J106="","",IF(J106&lt;0,"Expired",IF(J106&lt;=30,"Expiring Soon","Active")))</f>
        <v/>
      </c>
      <c r="L106" s="14" t="n">
        <v>1</v>
      </c>
      <c r="M106" s="14" t="inlineStr">
        <is>
          <t>Annual</t>
        </is>
      </c>
    </row>
    <row r="107">
      <c r="A107" t="inlineStr">
        <is>
          <t>DCO-1153.pdf</t>
        </is>
      </c>
      <c r="B107" t="inlineStr">
        <is>
          <t>MD9GED1E25C611472</t>
        </is>
      </c>
      <c r="C107" t="inlineStr">
        <is>
          <t>Royal Sundaram General Insurance Co. Limited</t>
        </is>
      </c>
      <c r="D107" t="inlineStr">
        <is>
          <t>VGC1519742000100</t>
        </is>
      </c>
      <c r="E107" t="inlineStr">
        <is>
          <t>2026-03-27</t>
        </is>
      </c>
      <c r="F107" t="inlineStr">
        <is>
          <t>2027-03-26</t>
        </is>
      </c>
      <c r="G107" t="inlineStr">
        <is>
          <t>Yes</t>
        </is>
      </c>
      <c r="H107" t="inlineStr">
        <is>
          <t>accident, fire, explosion, self-ignition, lightning, theft, burglary, flood, cyclone, storm, earthquake, landslide, riot, strike, terrorism, malicious act, transit</t>
        </is>
      </c>
      <c r="I107" t="n">
        <v>5922.63</v>
      </c>
      <c r="J107">
        <f>IF(F107="","",IFERROR(INT(F107-TODAY()),""))</f>
        <v/>
      </c>
      <c r="K107">
        <f>IF(J107="","",IF(J107&lt;0,"Expired",IF(J107&lt;=30,"Expiring Soon","Active")))</f>
        <v/>
      </c>
      <c r="L107" t="n">
        <v>1</v>
      </c>
      <c r="M107" t="inlineStr">
        <is>
          <t>Annual</t>
        </is>
      </c>
    </row>
    <row r="108">
      <c r="A108" s="14" t="inlineStr">
        <is>
          <t>DCO-1156.pdf</t>
        </is>
      </c>
      <c r="B108" s="14" t="inlineStr">
        <is>
          <t>MD9GED1E25C611539</t>
        </is>
      </c>
      <c r="C108" s="14" t="inlineStr">
        <is>
          <t>Royal Sundaram General Insurance Co. Limited</t>
        </is>
      </c>
      <c r="D108" s="14" t="inlineStr">
        <is>
          <t>VGC1517134000100</t>
        </is>
      </c>
      <c r="E108" s="14" t="inlineStr">
        <is>
          <t>2026-03-27</t>
        </is>
      </c>
      <c r="F108" s="14" t="inlineStr">
        <is>
          <t>2027-03-26</t>
        </is>
      </c>
      <c r="G108" s="14" t="inlineStr">
        <is>
          <t>Yes</t>
        </is>
      </c>
      <c r="H108" s="14" t="inlineStr">
        <is>
          <t>accident, fire, explosion, self-ignition, lightning, theft, burglary, flood, cyclone, storm, earthquake, landslide, riot, strike, terrorism, malicious act, transit</t>
        </is>
      </c>
      <c r="I108" s="14" t="n">
        <v>5922.63</v>
      </c>
      <c r="J108" s="14">
        <f>IF(F108="","",IFERROR(INT(F108-TODAY()),""))</f>
        <v/>
      </c>
      <c r="K108" s="14">
        <f>IF(J108="","",IF(J108&lt;0,"Expired",IF(J108&lt;=30,"Expiring Soon","Active")))</f>
        <v/>
      </c>
      <c r="L108" s="14" t="n">
        <v>1</v>
      </c>
      <c r="M108" s="14" t="inlineStr">
        <is>
          <t>Annual</t>
        </is>
      </c>
    </row>
    <row r="109">
      <c r="A109" t="inlineStr">
        <is>
          <t>DCO-1171.pdf</t>
        </is>
      </c>
      <c r="B109" t="inlineStr">
        <is>
          <t>MD9GED1E25C611464</t>
        </is>
      </c>
      <c r="C109" t="inlineStr">
        <is>
          <t>Royal Sundaram General Insurance Co. Limited</t>
        </is>
      </c>
      <c r="D109" t="inlineStr">
        <is>
          <t>VGC1516766000100</t>
        </is>
      </c>
      <c r="E109" t="inlineStr">
        <is>
          <t>2026-03-27</t>
        </is>
      </c>
      <c r="F109" t="inlineStr">
        <is>
          <t>2027-03-26</t>
        </is>
      </c>
      <c r="G109" t="inlineStr">
        <is>
          <t>Yes</t>
        </is>
      </c>
      <c r="H109" t="inlineStr">
        <is>
          <t>accident, fire, explosion, self-ignition, lightning, theft, burglary, flood, cyclone, storm, earthquake, landslide, riot, strike, terrorism, malicious act, transit</t>
        </is>
      </c>
      <c r="I109" t="n">
        <v>5922.63</v>
      </c>
      <c r="J109">
        <f>IF(F109="","",IFERROR(INT(F109-TODAY()),""))</f>
        <v/>
      </c>
      <c r="K109">
        <f>IF(J109="","",IF(J109&lt;0,"Expired",IF(J109&lt;=30,"Expiring Soon","Active")))</f>
        <v/>
      </c>
      <c r="L109" t="n">
        <v>1</v>
      </c>
      <c r="M109" t="inlineStr">
        <is>
          <t>Annual</t>
        </is>
      </c>
    </row>
    <row r="110">
      <c r="A110" s="14" t="inlineStr">
        <is>
          <t>DCO-360.pdf</t>
        </is>
      </c>
      <c r="B110" s="14" t="inlineStr">
        <is>
          <t>MD9GED1E25C611491</t>
        </is>
      </c>
      <c r="C110" s="14" t="inlineStr">
        <is>
          <t>Royal Sundaram General Insurance Co. Limited</t>
        </is>
      </c>
      <c r="D110" s="14" t="inlineStr">
        <is>
          <t>VGC1516927000100</t>
        </is>
      </c>
      <c r="E110" s="14" t="inlineStr">
        <is>
          <t>2026-03-27</t>
        </is>
      </c>
      <c r="F110" s="14" t="inlineStr">
        <is>
          <t>2027-03-26</t>
        </is>
      </c>
      <c r="G110" s="14" t="inlineStr">
        <is>
          <t>Yes</t>
        </is>
      </c>
      <c r="H110" s="14" t="inlineStr">
        <is>
          <t>accident, fire, explosion, self-ignition, lightning, theft, burglary</t>
        </is>
      </c>
      <c r="I110" s="14" t="n">
        <v>5922.63</v>
      </c>
      <c r="J110" s="14">
        <f>IF(F110="","",IFERROR(INT(F110-TODAY()),""))</f>
        <v/>
      </c>
      <c r="K110" s="14">
        <f>IF(J110="","",IF(J110&lt;0,"Expired",IF(J110&lt;=30,"Expiring Soon","Active")))</f>
        <v/>
      </c>
      <c r="L110" s="14" t="n">
        <v>1</v>
      </c>
      <c r="M110" s="14" t="inlineStr">
        <is>
          <t>Annual</t>
        </is>
      </c>
    </row>
    <row r="111">
      <c r="A111" t="inlineStr">
        <is>
          <t>DCO-361.pdf</t>
        </is>
      </c>
      <c r="B111" t="inlineStr">
        <is>
          <t>MD9GED1E25C611493</t>
        </is>
      </c>
      <c r="C111" t="inlineStr">
        <is>
          <t>Royal Sundaram General Insurance Co. Limited</t>
        </is>
      </c>
      <c r="D111" t="inlineStr">
        <is>
          <t>VGC1516902000100</t>
        </is>
      </c>
      <c r="E111" t="inlineStr">
        <is>
          <t>2026-03-27</t>
        </is>
      </c>
      <c r="F111" t="inlineStr">
        <is>
          <t>2027-03-26</t>
        </is>
      </c>
      <c r="G111" t="inlineStr">
        <is>
          <t>Yes</t>
        </is>
      </c>
      <c r="H111" t="inlineStr">
        <is>
          <t>accident, fire, explosion, self-ignition, lightning, theft, burglary</t>
        </is>
      </c>
      <c r="I111" t="n">
        <v>5922.63</v>
      </c>
      <c r="J111">
        <f>IF(F111="","",IFERROR(INT(F111-TODAY()),""))</f>
        <v/>
      </c>
      <c r="K111">
        <f>IF(J111="","",IF(J111&lt;0,"Expired",IF(J111&lt;=30,"Expiring Soon","Active")))</f>
        <v/>
      </c>
      <c r="L111" t="n">
        <v>1</v>
      </c>
      <c r="M111" t="inlineStr">
        <is>
          <t>Annual</t>
        </is>
      </c>
    </row>
    <row r="112">
      <c r="A112" s="14" t="inlineStr">
        <is>
          <t>DCO-362.pdf</t>
        </is>
      </c>
      <c r="B112" s="14" t="inlineStr">
        <is>
          <t>MD9GED1E25C611496</t>
        </is>
      </c>
      <c r="C112" s="14" t="inlineStr">
        <is>
          <t>Royal Sundaram General Insurance Co. Limited</t>
        </is>
      </c>
      <c r="D112" s="14" t="inlineStr">
        <is>
          <t>VGC1516995000100</t>
        </is>
      </c>
      <c r="E112" s="14" t="inlineStr">
        <is>
          <t>2026-03-27</t>
        </is>
      </c>
      <c r="F112" s="14" t="inlineStr">
        <is>
          <t>2027-03-26</t>
        </is>
      </c>
      <c r="G112" s="14" t="inlineStr">
        <is>
          <t>Yes</t>
        </is>
      </c>
      <c r="H112" s="14" t="inlineStr">
        <is>
          <t>accident, fire, explosion, self-ignition, lightning, theft, burglary</t>
        </is>
      </c>
      <c r="I112" s="14" t="n">
        <v>5922.63</v>
      </c>
      <c r="J112" s="14">
        <f>IF(F112="","",IFERROR(INT(F112-TODAY()),""))</f>
        <v/>
      </c>
      <c r="K112" s="14">
        <f>IF(J112="","",IF(J112&lt;0,"Expired",IF(J112&lt;=30,"Expiring Soon","Active")))</f>
        <v/>
      </c>
      <c r="L112" s="14" t="n">
        <v>1</v>
      </c>
      <c r="M112" s="14" t="inlineStr">
        <is>
          <t>Annual</t>
        </is>
      </c>
    </row>
    <row r="113">
      <c r="A113" t="inlineStr">
        <is>
          <t>DCO-364.pdf</t>
        </is>
      </c>
      <c r="B113" t="inlineStr">
        <is>
          <t>MD9GED1E25C611497</t>
        </is>
      </c>
      <c r="C113" t="inlineStr">
        <is>
          <t>Royal Sundaram General Insurance Co. Limited</t>
        </is>
      </c>
      <c r="D113" t="inlineStr">
        <is>
          <t>VGC1516997000100</t>
        </is>
      </c>
      <c r="E113" t="inlineStr">
        <is>
          <t>2026-03-27</t>
        </is>
      </c>
      <c r="F113" t="inlineStr">
        <is>
          <t>2027-03-26</t>
        </is>
      </c>
      <c r="G113" t="inlineStr">
        <is>
          <t>Yes</t>
        </is>
      </c>
      <c r="H113" t="inlineStr">
        <is>
          <t>accident, fire, explosion, self-ignition, lightning, theft, burglary</t>
        </is>
      </c>
      <c r="I113" t="n">
        <v>5922.63</v>
      </c>
      <c r="J113">
        <f>IF(F113="","",IFERROR(INT(F113-TODAY()),""))</f>
        <v/>
      </c>
      <c r="K113">
        <f>IF(J113="","",IF(J113&lt;0,"Expired",IF(J113&lt;=30,"Expiring Soon","Active")))</f>
        <v/>
      </c>
      <c r="L113" t="n">
        <v>1</v>
      </c>
      <c r="M113" t="inlineStr">
        <is>
          <t>Annual</t>
        </is>
      </c>
    </row>
    <row r="114">
      <c r="A114" s="14" t="inlineStr">
        <is>
          <t>DCO-369.pdf</t>
        </is>
      </c>
      <c r="B114" s="14" t="inlineStr">
        <is>
          <t>MD9GED1E25C611490</t>
        </is>
      </c>
      <c r="C114" s="14" t="inlineStr">
        <is>
          <t>Royal Sundaram General Insurance Co. Limited</t>
        </is>
      </c>
      <c r="D114" s="14" t="inlineStr">
        <is>
          <t>VGC1517003000100</t>
        </is>
      </c>
      <c r="E114" s="14" t="inlineStr">
        <is>
          <t>2026-03-27</t>
        </is>
      </c>
      <c r="F114" s="14" t="inlineStr">
        <is>
          <t>2027-03-26</t>
        </is>
      </c>
      <c r="G114" s="14" t="inlineStr">
        <is>
          <t>Yes</t>
        </is>
      </c>
      <c r="H114" s="14" t="inlineStr">
        <is>
          <t>accident, fire, explosion, self-ignition, lightning, theft, burglary</t>
        </is>
      </c>
      <c r="I114" s="14" t="n">
        <v>5922.63</v>
      </c>
      <c r="J114" s="14">
        <f>IF(F114="","",IFERROR(INT(F114-TODAY()),""))</f>
        <v/>
      </c>
      <c r="K114" s="14">
        <f>IF(J114="","",IF(J114&lt;0,"Expired",IF(J114&lt;=30,"Expiring Soon","Active")))</f>
        <v/>
      </c>
      <c r="L114" s="14" t="n">
        <v>1</v>
      </c>
      <c r="M114" s="14" t="inlineStr">
        <is>
          <t>Annual</t>
        </is>
      </c>
    </row>
    <row r="115">
      <c r="A115" t="inlineStr">
        <is>
          <t>DCO-370.pdf</t>
        </is>
      </c>
      <c r="B115" t="inlineStr">
        <is>
          <t>MD9GED1E25C611507</t>
        </is>
      </c>
      <c r="C115" t="inlineStr">
        <is>
          <t>Royal Sundaram General Insurance Co. Limited</t>
        </is>
      </c>
      <c r="D115" t="inlineStr">
        <is>
          <t>VGC1516951000100</t>
        </is>
      </c>
      <c r="E115" t="inlineStr">
        <is>
          <t>2026-03-27</t>
        </is>
      </c>
      <c r="F115" t="inlineStr">
        <is>
          <t>2027-03-26</t>
        </is>
      </c>
      <c r="G115" t="inlineStr">
        <is>
          <t>Yes</t>
        </is>
      </c>
      <c r="H115" t="inlineStr">
        <is>
          <t>accident, fire, explosion, self-ignition, lightning, theft, burglary, flood, cyclone, storm, earthquake, landslide, riot, strike, terrorism, malicious act, transit</t>
        </is>
      </c>
      <c r="I115" t="n">
        <v>5922.63</v>
      </c>
      <c r="J115">
        <f>IF(F115="","",IFERROR(INT(F115-TODAY()),""))</f>
        <v/>
      </c>
      <c r="K115">
        <f>IF(J115="","",IF(J115&lt;0,"Expired",IF(J115&lt;=30,"Expiring Soon","Active")))</f>
        <v/>
      </c>
      <c r="L115" t="n">
        <v>1</v>
      </c>
      <c r="M115" t="inlineStr">
        <is>
          <t>Annual</t>
        </is>
      </c>
    </row>
    <row r="116">
      <c r="A116" s="14" t="inlineStr">
        <is>
          <t>DCO-372.pdf</t>
        </is>
      </c>
      <c r="B116" s="14" t="inlineStr">
        <is>
          <t>MD9GED1E25C611499</t>
        </is>
      </c>
      <c r="C116" s="14" t="inlineStr">
        <is>
          <t>Royal Sundaram General Insurance Co. Limited</t>
        </is>
      </c>
      <c r="D116" s="14" t="inlineStr">
        <is>
          <t>VGC1519746000100</t>
        </is>
      </c>
      <c r="E116" s="14" t="inlineStr">
        <is>
          <t>2026-03-27</t>
        </is>
      </c>
      <c r="F116" s="14" t="inlineStr">
        <is>
          <t>2027-03-26</t>
        </is>
      </c>
      <c r="G116" s="14" t="inlineStr">
        <is>
          <t>Yes</t>
        </is>
      </c>
      <c r="H116" s="14" t="inlineStr">
        <is>
          <t>accident</t>
        </is>
      </c>
      <c r="I116" s="14" t="n">
        <v>5922.63</v>
      </c>
      <c r="J116" s="14">
        <f>IF(F116="","",IFERROR(INT(F116-TODAY()),""))</f>
        <v/>
      </c>
      <c r="K116" s="14">
        <f>IF(J116="","",IF(J116&lt;0,"Expired",IF(J116&lt;=30,"Expiring Soon","Active")))</f>
        <v/>
      </c>
      <c r="L116" s="14" t="n">
        <v>1</v>
      </c>
      <c r="M116" s="14" t="inlineStr">
        <is>
          <t>Annual</t>
        </is>
      </c>
    </row>
    <row r="117">
      <c r="A117" t="inlineStr">
        <is>
          <t>DCO-374.pdf</t>
        </is>
      </c>
      <c r="B117" t="inlineStr">
        <is>
          <t>MD9GED1E25C611502</t>
        </is>
      </c>
      <c r="C117" t="inlineStr">
        <is>
          <t>Royal Sundaram General Insurance Co. Limited</t>
        </is>
      </c>
      <c r="D117" t="inlineStr">
        <is>
          <t>VGC1516968000100</t>
        </is>
      </c>
      <c r="E117" t="inlineStr">
        <is>
          <t>2026-03-27</t>
        </is>
      </c>
      <c r="F117" t="inlineStr">
        <is>
          <t>2027-03-26</t>
        </is>
      </c>
      <c r="G117" t="inlineStr">
        <is>
          <t>Yes</t>
        </is>
      </c>
      <c r="H117" t="inlineStr">
        <is>
          <t>accident, fire, explosion, self-ignition, lightning, theft, burglary, flood, cyclone, storm, earthquake, landslide, riot, strike, terrorism, malicious act, transit</t>
        </is>
      </c>
      <c r="I117" t="n">
        <v>5922.63</v>
      </c>
      <c r="J117">
        <f>IF(F117="","",IFERROR(INT(F117-TODAY()),""))</f>
        <v/>
      </c>
      <c r="K117">
        <f>IF(J117="","",IF(J117&lt;0,"Expired",IF(J117&lt;=30,"Expiring Soon","Active")))</f>
        <v/>
      </c>
      <c r="L117" t="n">
        <v>1</v>
      </c>
      <c r="M117" t="inlineStr">
        <is>
          <t>Annual</t>
        </is>
      </c>
    </row>
    <row r="118">
      <c r="A118" s="14" t="inlineStr">
        <is>
          <t>DCO-375.pdf</t>
        </is>
      </c>
      <c r="B118" s="14" t="inlineStr">
        <is>
          <t>MD9GED1E25C611509</t>
        </is>
      </c>
      <c r="C118" s="14" t="inlineStr">
        <is>
          <t>Royal Sundaram General Insurance Co. Limited</t>
        </is>
      </c>
      <c r="D118" s="14" t="inlineStr">
        <is>
          <t>VGC1516970000100</t>
        </is>
      </c>
      <c r="E118" s="14" t="inlineStr">
        <is>
          <t>2026-03-27</t>
        </is>
      </c>
      <c r="F118" s="14" t="inlineStr">
        <is>
          <t>2027-03-26</t>
        </is>
      </c>
      <c r="G118" s="14" t="inlineStr">
        <is>
          <t>Yes</t>
        </is>
      </c>
      <c r="H118" s="14" t="inlineStr">
        <is>
          <t>accident</t>
        </is>
      </c>
      <c r="I118" s="14" t="n">
        <v>5922.63</v>
      </c>
      <c r="J118" s="14">
        <f>IF(F118="","",IFERROR(INT(F118-TODAY()),""))</f>
        <v/>
      </c>
      <c r="K118" s="14">
        <f>IF(J118="","",IF(J118&lt;0,"Expired",IF(J118&lt;=30,"Expiring Soon","Active")))</f>
        <v/>
      </c>
      <c r="L118" s="14" t="n">
        <v>1</v>
      </c>
      <c r="M118" s="14" t="inlineStr">
        <is>
          <t>Annual</t>
        </is>
      </c>
    </row>
    <row r="119">
      <c r="A119" t="inlineStr">
        <is>
          <t>DCO-377.pdf</t>
        </is>
      </c>
      <c r="B119" t="inlineStr">
        <is>
          <t>MD9GED1E25C611504</t>
        </is>
      </c>
      <c r="C119" t="inlineStr">
        <is>
          <t>Royal Sundaram General Insurance Co. Limited</t>
        </is>
      </c>
      <c r="D119" t="inlineStr">
        <is>
          <t>VGC1517007000100</t>
        </is>
      </c>
      <c r="E119" t="inlineStr">
        <is>
          <t>2026-03-27</t>
        </is>
      </c>
      <c r="F119" t="inlineStr">
        <is>
          <t>2027-03-26</t>
        </is>
      </c>
      <c r="G119" t="inlineStr">
        <is>
          <t>Yes</t>
        </is>
      </c>
      <c r="H119" t="inlineStr">
        <is>
          <t>accident, fire, explosion, self-ignition, lightning, theft, burglary</t>
        </is>
      </c>
      <c r="I119" t="n">
        <v>5922.63</v>
      </c>
      <c r="J119">
        <f>IF(F119="","",IFERROR(INT(F119-TODAY()),""))</f>
        <v/>
      </c>
      <c r="K119">
        <f>IF(J119="","",IF(J119&lt;0,"Expired",IF(J119&lt;=30,"Expiring Soon","Active")))</f>
        <v/>
      </c>
      <c r="L119" t="n">
        <v>1</v>
      </c>
      <c r="M119" t="inlineStr">
        <is>
          <t>Annual</t>
        </is>
      </c>
    </row>
    <row r="120">
      <c r="A120" s="14" t="inlineStr">
        <is>
          <t>DCO-379.pdf</t>
        </is>
      </c>
      <c r="B120" s="14" t="inlineStr">
        <is>
          <t>MD9GED1E25C611503</t>
        </is>
      </c>
      <c r="C120" s="14" t="inlineStr">
        <is>
          <t>Royal Sundaram General Insurance Co. Limited</t>
        </is>
      </c>
      <c r="D120" s="14" t="inlineStr">
        <is>
          <t>VGC1517009000100</t>
        </is>
      </c>
      <c r="E120" s="14" t="inlineStr">
        <is>
          <t>2026-03-27</t>
        </is>
      </c>
      <c r="F120" s="14" t="inlineStr">
        <is>
          <t>2027-03-26</t>
        </is>
      </c>
      <c r="G120" s="14" t="inlineStr">
        <is>
          <t>Yes</t>
        </is>
      </c>
      <c r="H120" s="14" t="inlineStr">
        <is>
          <t>accident, fire, explosion, self-ignition, lightning, theft, burglary</t>
        </is>
      </c>
      <c r="I120" s="14" t="n">
        <v>5922.63</v>
      </c>
      <c r="J120" s="14">
        <f>IF(F120="","",IFERROR(INT(F120-TODAY()),""))</f>
        <v/>
      </c>
      <c r="K120" s="14">
        <f>IF(J120="","",IF(J120&lt;0,"Expired",IF(J120&lt;=30,"Expiring Soon","Active")))</f>
        <v/>
      </c>
      <c r="L120" s="14" t="n">
        <v>1</v>
      </c>
      <c r="M120" s="14" t="inlineStr">
        <is>
          <t>Annual</t>
        </is>
      </c>
    </row>
    <row r="121">
      <c r="A121" t="inlineStr">
        <is>
          <t>DCO-381.pdf</t>
        </is>
      </c>
      <c r="B121" t="inlineStr">
        <is>
          <t>MD9GED1E25C611512</t>
        </is>
      </c>
      <c r="C121" t="inlineStr">
        <is>
          <t>Royal Sundaram General Insurance Co. Limited</t>
        </is>
      </c>
      <c r="D121" t="inlineStr">
        <is>
          <t>VGC1516976000100</t>
        </is>
      </c>
      <c r="E121" t="inlineStr">
        <is>
          <t>2026-03-27</t>
        </is>
      </c>
      <c r="F121" t="inlineStr">
        <is>
          <t>2027-03-26</t>
        </is>
      </c>
      <c r="G121" t="inlineStr">
        <is>
          <t>Yes</t>
        </is>
      </c>
      <c r="H121" t="inlineStr">
        <is>
          <t>accident, fire, explosion, self-ignition, lightning, theft, burglary, flood, cyclone, storm, earthquake, landslide, riot, strike, terrorism, malicious act, transit</t>
        </is>
      </c>
      <c r="I121" t="n">
        <v>5922.63</v>
      </c>
      <c r="J121">
        <f>IF(F121="","",IFERROR(INT(F121-TODAY()),""))</f>
        <v/>
      </c>
      <c r="K121">
        <f>IF(J121="","",IF(J121&lt;0,"Expired",IF(J121&lt;=30,"Expiring Soon","Active")))</f>
        <v/>
      </c>
      <c r="L121" t="n">
        <v>1</v>
      </c>
      <c r="M121" t="inlineStr">
        <is>
          <t>Annual</t>
        </is>
      </c>
    </row>
    <row r="122">
      <c r="A122" s="14" t="inlineStr">
        <is>
          <t>DCO-383.pdf</t>
        </is>
      </c>
      <c r="B122" s="14" t="inlineStr">
        <is>
          <t>MD9GED1E25C611513</t>
        </is>
      </c>
      <c r="C122" s="14" t="inlineStr">
        <is>
          <t>Royal Sundaram General Insurance Co. Limited</t>
        </is>
      </c>
      <c r="D122" s="14" t="inlineStr">
        <is>
          <t>VGC1517533000100</t>
        </is>
      </c>
      <c r="E122" s="14" t="inlineStr">
        <is>
          <t>2026-03-27</t>
        </is>
      </c>
      <c r="F122" s="14" t="inlineStr">
        <is>
          <t>2027-03-26</t>
        </is>
      </c>
      <c r="G122" s="14" t="inlineStr">
        <is>
          <t>Yes</t>
        </is>
      </c>
      <c r="H122" s="14" t="inlineStr">
        <is>
          <t>accident, fire, explosion, self-ignition, lightning, theft, burglary</t>
        </is>
      </c>
      <c r="I122" s="14" t="n">
        <v>5922.63</v>
      </c>
      <c r="J122" s="14">
        <f>IF(F122="","",IFERROR(INT(F122-TODAY()),""))</f>
        <v/>
      </c>
      <c r="K122" s="14">
        <f>IF(J122="","",IF(J122&lt;0,"Expired",IF(J122&lt;=30,"Expiring Soon","Active")))</f>
        <v/>
      </c>
      <c r="L122" s="14" t="n">
        <v>1</v>
      </c>
      <c r="M122" s="14" t="inlineStr">
        <is>
          <t>Annual</t>
        </is>
      </c>
    </row>
    <row r="123">
      <c r="A123" t="inlineStr">
        <is>
          <t>DCO-386.pdf</t>
        </is>
      </c>
      <c r="B123" t="inlineStr">
        <is>
          <t>MD9GED1E25C611511</t>
        </is>
      </c>
      <c r="C123" t="inlineStr">
        <is>
          <t>Royal Sundaram General Insurance Co. Limited</t>
        </is>
      </c>
      <c r="D123" t="inlineStr">
        <is>
          <t>VGC1517050000100</t>
        </is>
      </c>
      <c r="E123" t="inlineStr">
        <is>
          <t>2026-03-27</t>
        </is>
      </c>
      <c r="F123" t="inlineStr">
        <is>
          <t>2027-03-26</t>
        </is>
      </c>
      <c r="G123" t="inlineStr">
        <is>
          <t>Yes</t>
        </is>
      </c>
      <c r="H123" t="inlineStr">
        <is>
          <t>accident, fire, explosion, self-ignition, lightning, theft, burglary</t>
        </is>
      </c>
      <c r="I123" t="n">
        <v>5922.63</v>
      </c>
      <c r="J123">
        <f>IF(F123="","",IFERROR(INT(F123-TODAY()),""))</f>
        <v/>
      </c>
      <c r="K123">
        <f>IF(J123="","",IF(J123&lt;0,"Expired",IF(J123&lt;=30,"Expiring Soon","Active")))</f>
        <v/>
      </c>
      <c r="L123" t="n">
        <v>1</v>
      </c>
      <c r="M123" t="inlineStr">
        <is>
          <t>Annual</t>
        </is>
      </c>
    </row>
    <row r="124">
      <c r="A124" s="14" t="inlineStr">
        <is>
          <t>DCO-387.pdf</t>
        </is>
      </c>
      <c r="B124" s="14" t="inlineStr">
        <is>
          <t>MD9GED1E25C611514</t>
        </is>
      </c>
      <c r="C124" s="14" t="inlineStr">
        <is>
          <t>Royal Sundaram General Insurance Co. Limited</t>
        </is>
      </c>
      <c r="D124" s="14" t="inlineStr">
        <is>
          <t>VGC1517053000100</t>
        </is>
      </c>
      <c r="E124" s="14" t="inlineStr">
        <is>
          <t>2026-03-27</t>
        </is>
      </c>
      <c r="F124" s="14" t="inlineStr">
        <is>
          <t>2027-03-26</t>
        </is>
      </c>
      <c r="G124" s="14" t="inlineStr">
        <is>
          <t>Yes</t>
        </is>
      </c>
      <c r="H124" s="14" t="inlineStr">
        <is>
          <t>accident, fire, explosion, self-ignition, lightning, theft, burglary</t>
        </is>
      </c>
      <c r="I124" s="14" t="n">
        <v>5922.63</v>
      </c>
      <c r="J124" s="14">
        <f>IF(F124="","",IFERROR(INT(F124-TODAY()),""))</f>
        <v/>
      </c>
      <c r="K124" s="14">
        <f>IF(J124="","",IF(J124&lt;0,"Expired",IF(J124&lt;=30,"Expiring Soon","Active")))</f>
        <v/>
      </c>
      <c r="L124" s="14" t="n">
        <v>1</v>
      </c>
      <c r="M124" s="14" t="inlineStr">
        <is>
          <t>Annual</t>
        </is>
      </c>
    </row>
    <row r="125">
      <c r="A125" t="inlineStr">
        <is>
          <t>DCO-392.pdf</t>
        </is>
      </c>
      <c r="B125" t="inlineStr">
        <is>
          <t>MD9GED1E25C611517</t>
        </is>
      </c>
      <c r="C125" t="inlineStr">
        <is>
          <t>Royal Sundaram General Insurance Co. Limited</t>
        </is>
      </c>
      <c r="D125" t="inlineStr">
        <is>
          <t>VGC1517055000100</t>
        </is>
      </c>
      <c r="E125" t="inlineStr">
        <is>
          <t>2026-03-27</t>
        </is>
      </c>
      <c r="F125" t="inlineStr">
        <is>
          <t>2027-03-26</t>
        </is>
      </c>
      <c r="G125" t="inlineStr">
        <is>
          <t>Yes</t>
        </is>
      </c>
      <c r="H125" t="inlineStr">
        <is>
          <t>accident, fire, explosion, self-ignition, lightning, theft, burglary, flood, cyclone, storm, earthquake, landslide, riot, strike, terrorism, malicious act, transit</t>
        </is>
      </c>
      <c r="I125" t="n">
        <v>5922.63</v>
      </c>
      <c r="J125">
        <f>IF(F125="","",IFERROR(INT(F125-TODAY()),""))</f>
        <v/>
      </c>
      <c r="K125">
        <f>IF(J125="","",IF(J125&lt;0,"Expired",IF(J125&lt;=30,"Expiring Soon","Active")))</f>
        <v/>
      </c>
      <c r="L125" t="n">
        <v>1</v>
      </c>
      <c r="M125" t="inlineStr">
        <is>
          <t>Annual</t>
        </is>
      </c>
    </row>
    <row r="126">
      <c r="A126" s="14" t="inlineStr">
        <is>
          <t>DCO-393.pdf</t>
        </is>
      </c>
      <c r="B126" s="14" t="inlineStr">
        <is>
          <t>MD9GED1E25C611519</t>
        </is>
      </c>
      <c r="C126" s="14" t="inlineStr">
        <is>
          <t>Royal Sundaram General Insurance Co. Limited</t>
        </is>
      </c>
      <c r="D126" s="14" t="inlineStr">
        <is>
          <t>VGC1516986000100</t>
        </is>
      </c>
      <c r="E126" s="14" t="inlineStr">
        <is>
          <t>2026-03-27</t>
        </is>
      </c>
      <c r="F126" s="14" t="inlineStr">
        <is>
          <t>2027-03-26</t>
        </is>
      </c>
      <c r="G126" s="14" t="inlineStr">
        <is>
          <t>Yes</t>
        </is>
      </c>
      <c r="H126" s="14" t="inlineStr">
        <is>
          <t>accident, fire, explosion, self-ignition, lightning, theft, burglary, flood, cyclone, storm, earthquake, landslide, riot, strike, terrorism, malicious act, transit</t>
        </is>
      </c>
      <c r="I126" s="14" t="n">
        <v>5922.63</v>
      </c>
      <c r="J126" s="14">
        <f>IF(F126="","",IFERROR(INT(F126-TODAY()),""))</f>
        <v/>
      </c>
      <c r="K126" s="14">
        <f>IF(J126="","",IF(J126&lt;0,"Expired",IF(J126&lt;=30,"Expiring Soon","Active")))</f>
        <v/>
      </c>
      <c r="L126" s="14" t="n">
        <v>1</v>
      </c>
      <c r="M126" s="14" t="inlineStr">
        <is>
          <t>Annual</t>
        </is>
      </c>
    </row>
    <row r="127">
      <c r="A127" t="inlineStr">
        <is>
          <t>DCO-395.pdf</t>
        </is>
      </c>
      <c r="B127" t="inlineStr">
        <is>
          <t>MD9GED1E25C611521</t>
        </is>
      </c>
      <c r="C127" t="inlineStr">
        <is>
          <t>Royal Sundaram General Insurance Co. Limited</t>
        </is>
      </c>
      <c r="D127" t="inlineStr">
        <is>
          <t>VGC1516988000100</t>
        </is>
      </c>
      <c r="E127" t="inlineStr">
        <is>
          <t>2026-03-27</t>
        </is>
      </c>
      <c r="F127" t="inlineStr">
        <is>
          <t>2027-03-26</t>
        </is>
      </c>
      <c r="G127" t="inlineStr">
        <is>
          <t>Yes</t>
        </is>
      </c>
      <c r="H127" t="inlineStr">
        <is>
          <t>accident, fire, explosion, self-ignition, lightning, theft, burglary, flood, cyclone, storm, earthquake, landslide, riot, strike, terrorism, malicious act, transit</t>
        </is>
      </c>
      <c r="I127" t="n">
        <v>5922.63</v>
      </c>
      <c r="J127">
        <f>IF(F127="","",IFERROR(INT(F127-TODAY()),""))</f>
        <v/>
      </c>
      <c r="K127">
        <f>IF(J127="","",IF(J127&lt;0,"Expired",IF(J127&lt;=30,"Expiring Soon","Active")))</f>
        <v/>
      </c>
      <c r="L127" t="n">
        <v>1</v>
      </c>
      <c r="M127" t="inlineStr">
        <is>
          <t>Annual</t>
        </is>
      </c>
    </row>
    <row r="128">
      <c r="A128" s="14" t="inlineStr">
        <is>
          <t>DCO-396.pdf</t>
        </is>
      </c>
      <c r="B128" s="14" t="inlineStr">
        <is>
          <t>MD9GED1E25C611530</t>
        </is>
      </c>
      <c r="C128" s="14" t="inlineStr">
        <is>
          <t>Royal Sundaram General Insurance Co. Limited</t>
        </is>
      </c>
      <c r="D128" s="14" t="inlineStr">
        <is>
          <t>VGC1517069000100</t>
        </is>
      </c>
      <c r="E128" s="14" t="inlineStr">
        <is>
          <t>2026-03-27</t>
        </is>
      </c>
      <c r="F128" s="14" t="inlineStr">
        <is>
          <t>2027-03-26</t>
        </is>
      </c>
      <c r="G128" s="14" t="inlineStr">
        <is>
          <t>Yes</t>
        </is>
      </c>
      <c r="H128" s="14" t="inlineStr">
        <is>
          <t>accident, fire, explosion, self-ignition, lightning, theft, burglary, flood, cyclone, storm, earthquake, landslide, riot, strike, terrorism, malicious act, transit</t>
        </is>
      </c>
      <c r="I128" s="14" t="n">
        <v>5922.63</v>
      </c>
      <c r="J128" s="14">
        <f>IF(F128="","",IFERROR(INT(F128-TODAY()),""))</f>
        <v/>
      </c>
      <c r="K128" s="14">
        <f>IF(J128="","",IF(J128&lt;0,"Expired",IF(J128&lt;=30,"Expiring Soon","Active")))</f>
        <v/>
      </c>
      <c r="L128" s="14" t="n">
        <v>1</v>
      </c>
      <c r="M128" s="14" t="inlineStr">
        <is>
          <t>Annual</t>
        </is>
      </c>
    </row>
    <row r="129">
      <c r="A129" t="inlineStr">
        <is>
          <t>DCO-397.pdf</t>
        </is>
      </c>
      <c r="B129" t="inlineStr">
        <is>
          <t>MD9GED1E25C611522</t>
        </is>
      </c>
      <c r="C129" t="inlineStr">
        <is>
          <t>Royal Sundaram General Insurance Co. Limited</t>
        </is>
      </c>
      <c r="D129" t="inlineStr">
        <is>
          <t>VGC1517074000100</t>
        </is>
      </c>
      <c r="E129" t="inlineStr">
        <is>
          <t>2026-03-27</t>
        </is>
      </c>
      <c r="F129" t="inlineStr">
        <is>
          <t>2027-03-26</t>
        </is>
      </c>
      <c r="G129" t="inlineStr">
        <is>
          <t>Yes</t>
        </is>
      </c>
      <c r="H129" t="inlineStr">
        <is>
          <t>accident, fire, explosion, self-ignition, lightning, theft, burglary, flood, cyclone, storm, earthquake, landslide, riot, strike, terrorism, malicious act, transit</t>
        </is>
      </c>
      <c r="I129" t="n">
        <v>5922.63</v>
      </c>
      <c r="J129">
        <f>IF(F129="","",IFERROR(INT(F129-TODAY()),""))</f>
        <v/>
      </c>
      <c r="K129">
        <f>IF(J129="","",IF(J129&lt;0,"Expired",IF(J129&lt;=30,"Expiring Soon","Active")))</f>
        <v/>
      </c>
      <c r="L129" t="n">
        <v>1</v>
      </c>
      <c r="M129" t="inlineStr">
        <is>
          <t>Annual</t>
        </is>
      </c>
    </row>
    <row r="130">
      <c r="A130" s="14" t="inlineStr">
        <is>
          <t>DCO-398.pdf</t>
        </is>
      </c>
      <c r="B130" s="14" t="inlineStr">
        <is>
          <t>MD9GED1E25C611523</t>
        </is>
      </c>
      <c r="C130" s="14" t="inlineStr">
        <is>
          <t>Royal Sundaram General Insurance Co. Limited</t>
        </is>
      </c>
      <c r="D130" s="14" t="inlineStr">
        <is>
          <t>VGC1517058000100</t>
        </is>
      </c>
      <c r="E130" s="14" t="inlineStr">
        <is>
          <t>2026-03-27</t>
        </is>
      </c>
      <c r="F130" s="14" t="inlineStr">
        <is>
          <t>2027-03-26</t>
        </is>
      </c>
      <c r="G130" s="14" t="inlineStr">
        <is>
          <t>Yes</t>
        </is>
      </c>
      <c r="H130" s="14" t="inlineStr">
        <is>
          <t>accident, fire, explosion, self-ignition, lightning, theft, burglary</t>
        </is>
      </c>
      <c r="I130" s="14" t="n">
        <v>5922.63</v>
      </c>
      <c r="J130" s="14">
        <f>IF(F130="","",IFERROR(INT(F130-TODAY()),""))</f>
        <v/>
      </c>
      <c r="K130" s="14">
        <f>IF(J130="","",IF(J130&lt;0,"Expired",IF(J130&lt;=30,"Expiring Soon","Active")))</f>
        <v/>
      </c>
      <c r="L130" s="14" t="n">
        <v>1</v>
      </c>
      <c r="M130" s="14" t="inlineStr">
        <is>
          <t>Annual</t>
        </is>
      </c>
    </row>
    <row r="131">
      <c r="A131" t="inlineStr">
        <is>
          <t>DCO-399.pdf</t>
        </is>
      </c>
      <c r="B131" t="inlineStr">
        <is>
          <t>MD9GED1E25C611520</t>
        </is>
      </c>
      <c r="C131" t="inlineStr">
        <is>
          <t>Royal Sundaram General Insurance Co. Limited</t>
        </is>
      </c>
      <c r="D131" t="inlineStr">
        <is>
          <t>VGC1517062000100</t>
        </is>
      </c>
      <c r="E131" t="inlineStr">
        <is>
          <t>2026-03-27</t>
        </is>
      </c>
      <c r="F131" t="inlineStr">
        <is>
          <t>2027-03-26</t>
        </is>
      </c>
      <c r="G131" t="inlineStr">
        <is>
          <t>Yes</t>
        </is>
      </c>
      <c r="H131" t="inlineStr">
        <is>
          <t>accident, fire, explosion, self-ignition, lightning, theft, burglary, flood, cyclone, storm, earthquake, landslide, riot, strike, terrorism, malicious act, transit</t>
        </is>
      </c>
      <c r="I131" t="n">
        <v>5922.63</v>
      </c>
      <c r="J131">
        <f>IF(F131="","",IFERROR(INT(F131-TODAY()),""))</f>
        <v/>
      </c>
      <c r="K131">
        <f>IF(J131="","",IF(J131&lt;0,"Expired",IF(J131&lt;=30,"Expiring Soon","Active")))</f>
        <v/>
      </c>
      <c r="L131" t="n">
        <v>1</v>
      </c>
      <c r="M131" t="inlineStr">
        <is>
          <t>Annual</t>
        </is>
      </c>
    </row>
    <row r="132">
      <c r="A132" s="14" t="inlineStr">
        <is>
          <t>DCO-401.pdf</t>
        </is>
      </c>
      <c r="B132" s="14" t="inlineStr">
        <is>
          <t>MD9GED1E25C611538</t>
        </is>
      </c>
      <c r="C132" s="14" t="inlineStr">
        <is>
          <t>Royal Sundaram General Insurance Co. Limited</t>
        </is>
      </c>
      <c r="D132" s="14" t="inlineStr">
        <is>
          <t>VGC1517065000100</t>
        </is>
      </c>
      <c r="E132" s="14" t="inlineStr">
        <is>
          <t>2026-03-27</t>
        </is>
      </c>
      <c r="F132" s="14" t="inlineStr">
        <is>
          <t>2027-03-26</t>
        </is>
      </c>
      <c r="G132" s="14" t="inlineStr">
        <is>
          <t>Yes</t>
        </is>
      </c>
      <c r="H132" s="14" t="inlineStr">
        <is>
          <t>accident, fire, explosion, self-ignition, lightning, theft, burglary, flood, cyclone, storm, earthquake, landslide, riot, strike, terrorism, malicious act, transit</t>
        </is>
      </c>
      <c r="I132" s="14" t="n">
        <v>5922.63</v>
      </c>
      <c r="J132" s="14">
        <f>IF(F132="","",IFERROR(INT(F132-TODAY()),""))</f>
        <v/>
      </c>
      <c r="K132" s="14">
        <f>IF(J132="","",IF(J132&lt;0,"Expired",IF(J132&lt;=30,"Expiring Soon","Active")))</f>
        <v/>
      </c>
      <c r="L132" s="14" t="n">
        <v>1</v>
      </c>
      <c r="M132" s="14" t="inlineStr">
        <is>
          <t>Annual</t>
        </is>
      </c>
    </row>
    <row r="133">
      <c r="A133" t="inlineStr">
        <is>
          <t>DCO-402.pdf</t>
        </is>
      </c>
      <c r="B133" t="inlineStr">
        <is>
          <t>MD9GED1E25C611524</t>
        </is>
      </c>
      <c r="C133" t="inlineStr">
        <is>
          <t>Royal Sundaram General Insurance Co. Limited</t>
        </is>
      </c>
      <c r="D133" t="inlineStr">
        <is>
          <t>VGC1517096000100</t>
        </is>
      </c>
      <c r="E133" t="inlineStr">
        <is>
          <t>2026-03-27</t>
        </is>
      </c>
      <c r="F133" t="inlineStr">
        <is>
          <t>2027-03-26</t>
        </is>
      </c>
      <c r="G133" t="inlineStr">
        <is>
          <t>Yes</t>
        </is>
      </c>
      <c r="H133" t="inlineStr">
        <is>
          <t>accident, fire, explosion, self-ignition, lightning, theft, burglary, flood, cyclone, storm, earthquake, landslide, riot, strike, terrorism, malicious act, transit</t>
        </is>
      </c>
      <c r="I133" t="n">
        <v>5922.63</v>
      </c>
      <c r="J133">
        <f>IF(F133="","",IFERROR(INT(F133-TODAY()),""))</f>
        <v/>
      </c>
      <c r="K133">
        <f>IF(J133="","",IF(J133&lt;0,"Expired",IF(J133&lt;=30,"Expiring Soon","Active")))</f>
        <v/>
      </c>
      <c r="L133" t="n">
        <v>1</v>
      </c>
      <c r="M133" t="inlineStr">
        <is>
          <t>Annual</t>
        </is>
      </c>
    </row>
    <row r="134">
      <c r="A134" s="14" t="inlineStr">
        <is>
          <t>DCO-404.pdf</t>
        </is>
      </c>
      <c r="B134" s="14" t="inlineStr">
        <is>
          <t>MD9GED1E25C611537</t>
        </is>
      </c>
      <c r="C134" s="14" t="inlineStr">
        <is>
          <t>Royal Sundaram General Insurance Co. Limited</t>
        </is>
      </c>
      <c r="D134" s="14" t="inlineStr">
        <is>
          <t>VGC1517098000100</t>
        </is>
      </c>
      <c r="E134" s="14" t="inlineStr">
        <is>
          <t>2026-03-27</t>
        </is>
      </c>
      <c r="F134" s="14" t="inlineStr">
        <is>
          <t>2027-03-26</t>
        </is>
      </c>
      <c r="G134" s="14" t="inlineStr">
        <is>
          <t>Yes</t>
        </is>
      </c>
      <c r="H134" s="14" t="inlineStr">
        <is>
          <t>accident, fire, explosion, self-ignition, lightning, theft, burglary, flood, cyclone, storm, earthquake, landslide, riot, strike, terrorism, malicious act, transit</t>
        </is>
      </c>
      <c r="I134" s="14" t="n">
        <v>5922.63</v>
      </c>
      <c r="J134" s="14">
        <f>IF(F134="","",IFERROR(INT(F134-TODAY()),""))</f>
        <v/>
      </c>
      <c r="K134" s="14">
        <f>IF(J134="","",IF(J134&lt;0,"Expired",IF(J134&lt;=30,"Expiring Soon","Active")))</f>
        <v/>
      </c>
      <c r="L134" s="14" t="n">
        <v>1</v>
      </c>
      <c r="M134" s="14" t="inlineStr">
        <is>
          <t>Annual</t>
        </is>
      </c>
    </row>
    <row r="135">
      <c r="A135" t="inlineStr">
        <is>
          <t>DCO-408.pdf</t>
        </is>
      </c>
      <c r="B135" t="inlineStr">
        <is>
          <t>MD9GED1E25C611515</t>
        </is>
      </c>
      <c r="C135" t="inlineStr">
        <is>
          <t>Royal Sundaram General Insurance Co. Limited</t>
        </is>
      </c>
      <c r="D135" t="inlineStr">
        <is>
          <t>VGC1517099000100</t>
        </is>
      </c>
      <c r="E135" t="inlineStr">
        <is>
          <t>2026-03-27</t>
        </is>
      </c>
      <c r="F135" t="inlineStr">
        <is>
          <t>2027-03-26</t>
        </is>
      </c>
      <c r="G135" t="inlineStr">
        <is>
          <t>Yes</t>
        </is>
      </c>
      <c r="H135" t="inlineStr">
        <is>
          <t>accident, fire, explosion, self-ignition, lightning, theft, burglary, flood, cyclone, storm, earthquake, landslide, riot, strike, terrorism, malicious act, transit</t>
        </is>
      </c>
      <c r="I135" t="n">
        <v>5922.63</v>
      </c>
      <c r="J135">
        <f>IF(F135="","",IFERROR(INT(F135-TODAY()),""))</f>
        <v/>
      </c>
      <c r="K135">
        <f>IF(J135="","",IF(J135&lt;0,"Expired",IF(J135&lt;=30,"Expiring Soon","Active")))</f>
        <v/>
      </c>
      <c r="L135" t="n">
        <v>1</v>
      </c>
      <c r="M135" t="inlineStr">
        <is>
          <t>Annual</t>
        </is>
      </c>
    </row>
    <row r="136">
      <c r="A136" s="14" t="inlineStr">
        <is>
          <t>DCO-410.pdf</t>
        </is>
      </c>
      <c r="B136" s="14" t="inlineStr">
        <is>
          <t>MD9GED1E25C611518</t>
        </is>
      </c>
      <c r="C136" s="14" t="inlineStr">
        <is>
          <t>Royal Sundaram General Insurance Co. Limited</t>
        </is>
      </c>
      <c r="D136" s="14" t="inlineStr">
        <is>
          <t>VGC1517130000100</t>
        </is>
      </c>
      <c r="E136" s="14" t="inlineStr">
        <is>
          <t>2026-03-27</t>
        </is>
      </c>
      <c r="F136" s="14" t="inlineStr">
        <is>
          <t>2027-03-26</t>
        </is>
      </c>
      <c r="G136" s="14" t="inlineStr">
        <is>
          <t>Yes</t>
        </is>
      </c>
      <c r="H136" s="14" t="inlineStr">
        <is>
          <t>accident, fire, explosion, self-ignition, lightning, theft, burglary, flood, cyclone, storm, earthquake, landslide, riot, strike, terrorism, malicious act, transit</t>
        </is>
      </c>
      <c r="I136" s="14" t="n">
        <v>5922.63</v>
      </c>
      <c r="J136" s="14">
        <f>IF(F136="","",IFERROR(INT(F136-TODAY()),""))</f>
        <v/>
      </c>
      <c r="K136" s="14">
        <f>IF(J136="","",IF(J136&lt;0,"Expired",IF(J136&lt;=30,"Expiring Soon","Active")))</f>
        <v/>
      </c>
      <c r="L136" s="14" t="n">
        <v>1</v>
      </c>
      <c r="M136" s="14" t="inlineStr">
        <is>
          <t>Annual</t>
        </is>
      </c>
    </row>
    <row r="137">
      <c r="A137" t="inlineStr">
        <is>
          <t>DCO-416.pdf</t>
        </is>
      </c>
      <c r="B137" t="inlineStr">
        <is>
          <t>MD9GED1E25C611539</t>
        </is>
      </c>
      <c r="C137" t="inlineStr">
        <is>
          <t>Royal Sundaram General Insurance Co. Limited</t>
        </is>
      </c>
      <c r="D137" t="inlineStr">
        <is>
          <t>VGC1517134000100</t>
        </is>
      </c>
      <c r="E137" t="inlineStr">
        <is>
          <t>2026-03-27</t>
        </is>
      </c>
      <c r="F137" t="inlineStr">
        <is>
          <t>2027-03-26</t>
        </is>
      </c>
      <c r="G137" t="inlineStr">
        <is>
          <t>Yes</t>
        </is>
      </c>
      <c r="H137" t="inlineStr">
        <is>
          <t>accident, fire, explosion, self-ignition, lightning, theft, burglary, flood, cyclone, storm, earthquake, landslide, riot, strike, terrorism, malicious act, transit</t>
        </is>
      </c>
      <c r="I137" t="n">
        <v>5922.63</v>
      </c>
      <c r="J137">
        <f>IF(F137="","",IFERROR(INT(F137-TODAY()),""))</f>
        <v/>
      </c>
      <c r="K137">
        <f>IF(J137="","",IF(J137&lt;0,"Expired",IF(J137&lt;=30,"Expiring Soon","Active")))</f>
        <v/>
      </c>
      <c r="L137" t="n">
        <v>1</v>
      </c>
      <c r="M137" t="inlineStr">
        <is>
          <t>Annual</t>
        </is>
      </c>
    </row>
    <row r="138">
      <c r="A138" s="14" t="inlineStr">
        <is>
          <t>DCO-418.pdf</t>
        </is>
      </c>
      <c r="B138" s="14" t="inlineStr">
        <is>
          <t>MD9GED1E25C611534</t>
        </is>
      </c>
      <c r="C138" s="14" t="inlineStr">
        <is>
          <t>Royal Sundaram General Insurance Co. Limited</t>
        </is>
      </c>
      <c r="D138" s="14" t="inlineStr">
        <is>
          <t>VGC1517107000100</t>
        </is>
      </c>
      <c r="E138" s="14" t="inlineStr">
        <is>
          <t>2026-03-27</t>
        </is>
      </c>
      <c r="F138" s="14" t="inlineStr">
        <is>
          <t>2027-03-26</t>
        </is>
      </c>
      <c r="G138" s="14" t="inlineStr">
        <is>
          <t>Yes</t>
        </is>
      </c>
      <c r="H138" s="14" t="inlineStr">
        <is>
          <t>accident, fire, explosion, self-ignition, lightning, theft, burglary</t>
        </is>
      </c>
      <c r="I138" s="14" t="n">
        <v>5922.63</v>
      </c>
      <c r="J138" s="14">
        <f>IF(F138="","",IFERROR(INT(F138-TODAY()),""))</f>
        <v/>
      </c>
      <c r="K138" s="14">
        <f>IF(J138="","",IF(J138&lt;0,"Expired",IF(J138&lt;=30,"Expiring Soon","Active")))</f>
        <v/>
      </c>
      <c r="L138" s="14" t="n">
        <v>1</v>
      </c>
      <c r="M138" s="14" t="inlineStr">
        <is>
          <t>Annual</t>
        </is>
      </c>
    </row>
    <row r="139">
      <c r="A139" t="inlineStr">
        <is>
          <t>DCO-423.pdf</t>
        </is>
      </c>
      <c r="B139" t="inlineStr">
        <is>
          <t>MD9GED1E25C611527</t>
        </is>
      </c>
      <c r="C139" t="inlineStr">
        <is>
          <t>Royal Sundaram General Insurance Co. Limited</t>
        </is>
      </c>
      <c r="D139" t="inlineStr">
        <is>
          <t>VGC1517110000100</t>
        </is>
      </c>
      <c r="E139" t="inlineStr">
        <is>
          <t>2026-03-27</t>
        </is>
      </c>
      <c r="F139" t="inlineStr">
        <is>
          <t>2027-03-26</t>
        </is>
      </c>
      <c r="G139" t="inlineStr">
        <is>
          <t>Yes</t>
        </is>
      </c>
      <c r="H139" t="inlineStr">
        <is>
          <t>accident, fire, explosion, self-ignition, lightning, theft, burglary, flood, cyclone, storm, earthquake, landslide, riot, strike, terrorism, malicious act, transit</t>
        </is>
      </c>
      <c r="I139" t="n">
        <v>5922.63</v>
      </c>
      <c r="J139">
        <f>IF(F139="","",IFERROR(INT(F139-TODAY()),""))</f>
        <v/>
      </c>
      <c r="K139">
        <f>IF(J139="","",IF(J139&lt;0,"Expired",IF(J139&lt;=30,"Expiring Soon","Active")))</f>
        <v/>
      </c>
      <c r="L139" t="n">
        <v>1</v>
      </c>
      <c r="M139" t="inlineStr">
        <is>
          <t>Annual</t>
        </is>
      </c>
    </row>
    <row r="140">
      <c r="A140" s="14" t="inlineStr">
        <is>
          <t>DCO-424.pdf</t>
        </is>
      </c>
      <c r="B140" s="14" t="inlineStr">
        <is>
          <t>MD9GED1E25C611536</t>
        </is>
      </c>
      <c r="C140" s="14" t="inlineStr">
        <is>
          <t>Royal Sundaram General Insurance Co. Limited</t>
        </is>
      </c>
      <c r="D140" s="14" t="inlineStr">
        <is>
          <t>VGC1517135000100</t>
        </is>
      </c>
      <c r="E140" s="14" t="inlineStr">
        <is>
          <t>2026-03-27</t>
        </is>
      </c>
      <c r="F140" s="14" t="inlineStr">
        <is>
          <t>2027-03-26</t>
        </is>
      </c>
      <c r="G140" s="14" t="inlineStr">
        <is>
          <t>Yes</t>
        </is>
      </c>
      <c r="H140" s="14" t="inlineStr">
        <is>
          <t>accident, fire, explosion, self-ignition, lightning, theft, burglary, flood, cyclone, storm, earthquake, landslide, riot, strike, terrorism, malicious act, transit</t>
        </is>
      </c>
      <c r="I140" s="14" t="n">
        <v>5922.63</v>
      </c>
      <c r="J140" s="14">
        <f>IF(F140="","",IFERROR(INT(F140-TODAY()),""))</f>
        <v/>
      </c>
      <c r="K140" s="14">
        <f>IF(J140="","",IF(J140&lt;0,"Expired",IF(J140&lt;=30,"Expiring Soon","Active")))</f>
        <v/>
      </c>
      <c r="L140" s="14" t="n">
        <v>1</v>
      </c>
      <c r="M140" s="14" t="inlineStr">
        <is>
          <t>Annual</t>
        </is>
      </c>
    </row>
    <row r="141">
      <c r="A141" t="inlineStr">
        <is>
          <t>DCO-426.pdf</t>
        </is>
      </c>
      <c r="B141" t="inlineStr">
        <is>
          <t>MD9GED1E25C611525</t>
        </is>
      </c>
      <c r="C141" t="inlineStr">
        <is>
          <t>Royal Sundaram General Insurance Co. Limited</t>
        </is>
      </c>
      <c r="D141" t="inlineStr">
        <is>
          <t>VGC1517111000100</t>
        </is>
      </c>
      <c r="E141" t="inlineStr">
        <is>
          <t>2026-03-27</t>
        </is>
      </c>
      <c r="F141" t="inlineStr">
        <is>
          <t>2027-03-26</t>
        </is>
      </c>
      <c r="G141" t="inlineStr">
        <is>
          <t>Yes</t>
        </is>
      </c>
      <c r="H141" t="inlineStr">
        <is>
          <t>accident, fire, explosion, self-ignition, lightning, theft, burglary</t>
        </is>
      </c>
      <c r="I141" t="n">
        <v>5922.63</v>
      </c>
      <c r="J141">
        <f>IF(F141="","",IFERROR(INT(F141-TODAY()),""))</f>
        <v/>
      </c>
      <c r="K141">
        <f>IF(J141="","",IF(J141&lt;0,"Expired",IF(J141&lt;=30,"Expiring Soon","Active")))</f>
        <v/>
      </c>
      <c r="L141" t="n">
        <v>1</v>
      </c>
      <c r="M141" t="inlineStr">
        <is>
          <t>Annual</t>
        </is>
      </c>
    </row>
    <row r="142">
      <c r="A142" s="14" t="inlineStr">
        <is>
          <t>DCO-454.pdf</t>
        </is>
      </c>
      <c r="B142" s="14" t="inlineStr">
        <is>
          <t>MD9GED1E25C611531</t>
        </is>
      </c>
      <c r="C142" s="14" t="inlineStr">
        <is>
          <t>Royal Sundaram General Insurance Co. Limited</t>
        </is>
      </c>
      <c r="D142" s="14" t="inlineStr">
        <is>
          <t>VGC1517114000100</t>
        </is>
      </c>
      <c r="E142" s="14" t="inlineStr">
        <is>
          <t>2026-03-27</t>
        </is>
      </c>
      <c r="F142" s="14" t="inlineStr">
        <is>
          <t>2027-03-26</t>
        </is>
      </c>
      <c r="G142" s="14" t="inlineStr">
        <is>
          <t>Yes</t>
        </is>
      </c>
      <c r="H142" s="14" t="inlineStr">
        <is>
          <t>accident, fire, explosion, self-ignition, lightning, theft, burglary, flood, cyclone, storm, earthquake, landslide, riot, strike, terrorism, malicious act, transit</t>
        </is>
      </c>
      <c r="I142" s="14" t="n">
        <v>5922.63</v>
      </c>
      <c r="J142" s="14">
        <f>IF(F142="","",IFERROR(INT(F142-TODAY()),""))</f>
        <v/>
      </c>
      <c r="K142" s="14">
        <f>IF(J142="","",IF(J142&lt;0,"Expired",IF(J142&lt;=30,"Expiring Soon","Active")))</f>
        <v/>
      </c>
      <c r="L142" s="14" t="n">
        <v>1</v>
      </c>
      <c r="M142" s="14" t="inlineStr">
        <is>
          <t>Annual</t>
        </is>
      </c>
    </row>
    <row r="143">
      <c r="A143" t="inlineStr">
        <is>
          <t>DCO-608.pdf</t>
        </is>
      </c>
      <c r="B143" t="inlineStr">
        <is>
          <t>MD9GED1E25C611510</t>
        </is>
      </c>
      <c r="C143" t="inlineStr">
        <is>
          <t>Royal Sundaram General Insurance Co. Limited</t>
        </is>
      </c>
      <c r="D143" t="inlineStr">
        <is>
          <t>VGC1517091000100</t>
        </is>
      </c>
      <c r="E143" t="inlineStr">
        <is>
          <t>2026-03-27</t>
        </is>
      </c>
      <c r="F143" t="inlineStr">
        <is>
          <t>2027-03-26</t>
        </is>
      </c>
      <c r="G143" t="inlineStr">
        <is>
          <t>Yes</t>
        </is>
      </c>
      <c r="H143" t="inlineStr">
        <is>
          <t>accident, fire, explosion, self-ignition, lightning, theft, burglary, flood, cyclone, storm, earthquake, landslide, riot, strike, terrorism, malicious act, transit</t>
        </is>
      </c>
      <c r="I143" t="n">
        <v>5922.63</v>
      </c>
      <c r="J143">
        <f>IF(F143="","",IFERROR(INT(F143-TODAY()),""))</f>
        <v/>
      </c>
      <c r="K143">
        <f>IF(J143="","",IF(J143&lt;0,"Expired",IF(J143&lt;=30,"Expiring Soon","Active")))</f>
        <v/>
      </c>
      <c r="L143" t="n">
        <v>1</v>
      </c>
      <c r="M143" t="inlineStr">
        <is>
          <t>Annual</t>
        </is>
      </c>
    </row>
    <row r="144">
      <c r="A144" s="14" t="inlineStr">
        <is>
          <t>DCO-618.pdf</t>
        </is>
      </c>
      <c r="B144" s="14" t="inlineStr">
        <is>
          <t>MD9GED1E25C611475</t>
        </is>
      </c>
      <c r="C144" s="14" t="inlineStr">
        <is>
          <t>Royal Sundaram General Insurance Co. Limited</t>
        </is>
      </c>
      <c r="D144" s="14" t="inlineStr">
        <is>
          <t>VGC1517115000100</t>
        </is>
      </c>
      <c r="E144" s="14" t="inlineStr">
        <is>
          <t>2026-03-27</t>
        </is>
      </c>
      <c r="F144" s="14" t="inlineStr">
        <is>
          <t>2027-03-26</t>
        </is>
      </c>
      <c r="G144" s="14" t="inlineStr">
        <is>
          <t>Yes</t>
        </is>
      </c>
      <c r="H144" s="14" t="inlineStr">
        <is>
          <t>accident, fire, explosion, self-ignition, lightning, theft, burglary, flood, cyclone, storm, earthquake, landslide, riot, strike, terrorism, malicious act, transit</t>
        </is>
      </c>
      <c r="I144" s="14" t="n">
        <v>5922.63</v>
      </c>
      <c r="J144" s="14">
        <f>IF(F144="","",IFERROR(INT(F144-TODAY()),""))</f>
        <v/>
      </c>
      <c r="K144" s="14">
        <f>IF(J144="","",IF(J144&lt;0,"Expired",IF(J144&lt;=30,"Expiring Soon","Active")))</f>
        <v/>
      </c>
      <c r="L144" s="14" t="n">
        <v>1</v>
      </c>
      <c r="M144" s="14" t="inlineStr">
        <is>
          <t>Annual</t>
        </is>
      </c>
    </row>
    <row r="145">
      <c r="A145" t="inlineStr">
        <is>
          <t>DCO-639.pdf</t>
        </is>
      </c>
      <c r="B145" t="inlineStr">
        <is>
          <t>MD9GED1E25C611506</t>
        </is>
      </c>
      <c r="C145" t="inlineStr">
        <is>
          <t>Royal Sundaram General Insurance Co. Limited</t>
        </is>
      </c>
      <c r="D145" t="inlineStr">
        <is>
          <t>VGC1517116000100</t>
        </is>
      </c>
      <c r="E145" t="inlineStr">
        <is>
          <t>2026-03-27</t>
        </is>
      </c>
      <c r="F145" t="inlineStr">
        <is>
          <t>2027-03-26</t>
        </is>
      </c>
      <c r="G145" t="inlineStr">
        <is>
          <t>Yes</t>
        </is>
      </c>
      <c r="H145" t="inlineStr">
        <is>
          <t>accident, fire, explosion, self-ignition, lightning, theft, burglary, flood, cyclone, storm, earthquake, landslide, riot, strike, terrorism, malicious act, transit</t>
        </is>
      </c>
      <c r="I145" t="n">
        <v>5922.63</v>
      </c>
      <c r="J145">
        <f>IF(F145="","",IFERROR(INT(F145-TODAY()),""))</f>
        <v/>
      </c>
      <c r="K145">
        <f>IF(J145="","",IF(J145&lt;0,"Expired",IF(J145&lt;=30,"Expiring Soon","Active")))</f>
        <v/>
      </c>
      <c r="L145" t="n">
        <v>1</v>
      </c>
      <c r="M145" t="inlineStr">
        <is>
          <t>Annual</t>
        </is>
      </c>
    </row>
    <row r="146">
      <c r="A146" s="14" t="inlineStr">
        <is>
          <t>DCO-646.pdf</t>
        </is>
      </c>
      <c r="B146" s="14" t="inlineStr">
        <is>
          <t>MD9GED1E25C611532</t>
        </is>
      </c>
      <c r="C146" s="14" t="inlineStr">
        <is>
          <t>Royal Sundaram General Insurance Co. Limited</t>
        </is>
      </c>
      <c r="D146" s="14" t="inlineStr">
        <is>
          <t>VGC1517522000100</t>
        </is>
      </c>
      <c r="E146" s="14" t="inlineStr">
        <is>
          <t>2026-03-27</t>
        </is>
      </c>
      <c r="F146" s="14" t="inlineStr">
        <is>
          <t>2027-03-26</t>
        </is>
      </c>
      <c r="G146" s="14" t="inlineStr">
        <is>
          <t>Yes</t>
        </is>
      </c>
      <c r="H146" s="14" t="inlineStr">
        <is>
          <t>accident, fire, explosion, self-ignition, lightning, theft, burglary, flood, cyclone, storm, earthquake, landslide, riot, strike, terrorism, malicious act, transit</t>
        </is>
      </c>
      <c r="I146" s="14" t="n">
        <v>5654.85</v>
      </c>
      <c r="J146" s="14">
        <f>IF(F146="","",IFERROR(INT(F146-TODAY()),""))</f>
        <v/>
      </c>
      <c r="K146" s="14">
        <f>IF(J146="","",IF(J146&lt;0,"Expired",IF(J146&lt;=30,"Expiring Soon","Active")))</f>
        <v/>
      </c>
      <c r="L146" s="14" t="n">
        <v>1</v>
      </c>
      <c r="M146" s="14" t="inlineStr">
        <is>
          <t>Annual</t>
        </is>
      </c>
    </row>
    <row r="147">
      <c r="A147" t="inlineStr">
        <is>
          <t>DCO-657.pdf</t>
        </is>
      </c>
      <c r="B147" t="inlineStr">
        <is>
          <t>MD9GED1E25C611535</t>
        </is>
      </c>
      <c r="C147" t="inlineStr">
        <is>
          <t>Royal Sundaram General Insurance Co. Limited</t>
        </is>
      </c>
      <c r="D147" t="inlineStr">
        <is>
          <t>VGC1517138000100</t>
        </is>
      </c>
      <c r="E147" t="inlineStr">
        <is>
          <t>2026-03-27</t>
        </is>
      </c>
      <c r="F147" t="inlineStr">
        <is>
          <t>2027-03-26</t>
        </is>
      </c>
      <c r="G147" t="inlineStr">
        <is>
          <t>Yes</t>
        </is>
      </c>
      <c r="H147" t="inlineStr">
        <is>
          <t>accident, fire, explosion, self-ignition, lightning, theft, burglary</t>
        </is>
      </c>
      <c r="I147" t="n">
        <v>5922.63</v>
      </c>
      <c r="J147">
        <f>IF(F147="","",IFERROR(INT(F147-TODAY()),""))</f>
        <v/>
      </c>
      <c r="K147">
        <f>IF(J147="","",IF(J147&lt;0,"Expired",IF(J147&lt;=30,"Expiring Soon","Active")))</f>
        <v/>
      </c>
      <c r="L147" t="n">
        <v>1</v>
      </c>
      <c r="M147" t="inlineStr">
        <is>
          <t>Annual</t>
        </is>
      </c>
    </row>
    <row r="148">
      <c r="A148" s="14" t="inlineStr">
        <is>
          <t>DCO-691.pdf</t>
        </is>
      </c>
      <c r="B148" s="14" t="inlineStr">
        <is>
          <t>MD9GED1E25C611528</t>
        </is>
      </c>
      <c r="C148" s="14" t="inlineStr">
        <is>
          <t>Royal Sundaram General Insurance Co. Limited</t>
        </is>
      </c>
      <c r="D148" s="14" t="inlineStr">
        <is>
          <t>VGC1517140000100</t>
        </is>
      </c>
      <c r="E148" s="14" t="inlineStr">
        <is>
          <t>2026-03-27</t>
        </is>
      </c>
      <c r="F148" s="14" t="inlineStr">
        <is>
          <t>2027-03-26</t>
        </is>
      </c>
      <c r="G148" s="14" t="inlineStr">
        <is>
          <t>Yes</t>
        </is>
      </c>
      <c r="H148" s="14" t="inlineStr">
        <is>
          <t>accident, fire, explosion, self-ignition, lightning, theft, burglary</t>
        </is>
      </c>
      <c r="I148" s="14" t="n">
        <v>5922.63</v>
      </c>
      <c r="J148" s="14">
        <f>IF(F148="","",IFERROR(INT(F148-TODAY()),""))</f>
        <v/>
      </c>
      <c r="K148" s="14">
        <f>IF(J148="","",IF(J148&lt;0,"Expired",IF(J148&lt;=30,"Expiring Soon","Active")))</f>
        <v/>
      </c>
      <c r="L148" s="14" t="n">
        <v>1</v>
      </c>
      <c r="M148" s="14" t="inlineStr">
        <is>
          <t>Annual</t>
        </is>
      </c>
    </row>
    <row r="149">
      <c r="A149" t="inlineStr">
        <is>
          <t>DCO-723.pdf</t>
        </is>
      </c>
      <c r="B149" t="inlineStr">
        <is>
          <t>MD9GED1E25C611498</t>
        </is>
      </c>
      <c r="C149" t="inlineStr">
        <is>
          <t>Royal Sundaram General Insurance Co. Limited</t>
        </is>
      </c>
      <c r="D149" t="inlineStr">
        <is>
          <t>VGC1517142000100</t>
        </is>
      </c>
      <c r="E149" t="inlineStr">
        <is>
          <t>2026-03-27</t>
        </is>
      </c>
      <c r="F149" t="inlineStr">
        <is>
          <t>2027-03-26</t>
        </is>
      </c>
      <c r="G149" t="inlineStr">
        <is>
          <t>Yes</t>
        </is>
      </c>
      <c r="H149" t="inlineStr">
        <is>
          <t>accident, fire, explosion, self-ignition, lightning, theft, burglary</t>
        </is>
      </c>
      <c r="I149" t="n">
        <v>5922.63</v>
      </c>
      <c r="J149">
        <f>IF(F149="","",IFERROR(INT(F149-TODAY()),""))</f>
        <v/>
      </c>
      <c r="K149">
        <f>IF(J149="","",IF(J149&lt;0,"Expired",IF(J149&lt;=30,"Expiring Soon","Active")))</f>
        <v/>
      </c>
      <c r="L149" t="n">
        <v>1</v>
      </c>
      <c r="M149" t="inlineStr">
        <is>
          <t>Annual</t>
        </is>
      </c>
    </row>
    <row r="150">
      <c r="A150" s="14" t="inlineStr">
        <is>
          <t>DCO-765.pdf</t>
        </is>
      </c>
      <c r="B150" s="14" t="inlineStr">
        <is>
          <t>MD9GED1E24E611221</t>
        </is>
      </c>
      <c r="C150" s="14" t="inlineStr">
        <is>
          <t>Royal Sundaram General Insurance Co. Limited</t>
        </is>
      </c>
      <c r="D150" s="14" t="inlineStr">
        <is>
          <t>VGC1159628000102</t>
        </is>
      </c>
      <c r="E150" s="14" t="inlineStr">
        <is>
          <t>2026-05-28</t>
        </is>
      </c>
      <c r="F150" s="14" t="inlineStr">
        <is>
          <t>2027-05-27</t>
        </is>
      </c>
      <c r="G150" s="14" t="inlineStr">
        <is>
          <t>Yes</t>
        </is>
      </c>
      <c r="H150" s="14" t="inlineStr">
        <is>
          <t>accident, fire, explosion, self-ignition, lightning, theft, burglary, flood, cyclone, storm, earthquake, landslide, riot, strike, terrorism, malicious act, transit</t>
        </is>
      </c>
      <c r="I150" s="14" t="n">
        <v>7954</v>
      </c>
      <c r="J150" s="14">
        <f>IF(F150="","",IFERROR(INT(F150-TODAY()),""))</f>
        <v/>
      </c>
      <c r="K150" s="14">
        <f>IF(J150="","",IF(J150&lt;0,"Expired",IF(J150&lt;=30,"Expiring Soon","Active")))</f>
        <v/>
      </c>
      <c r="L150" s="14" t="n">
        <v>1</v>
      </c>
      <c r="M150" s="14" t="inlineStr">
        <is>
          <t>Annual</t>
        </is>
      </c>
    </row>
    <row r="151">
      <c r="A151" t="inlineStr">
        <is>
          <t>DCO-769.pdf</t>
        </is>
      </c>
      <c r="B151" t="inlineStr">
        <is>
          <t>MD9GED1E25C611529</t>
        </is>
      </c>
      <c r="C151" t="inlineStr">
        <is>
          <t>Royal Sundaram General Insurance Co. Limited</t>
        </is>
      </c>
      <c r="D151" t="inlineStr">
        <is>
          <t>VGC1517124000100</t>
        </is>
      </c>
      <c r="E151" t="inlineStr">
        <is>
          <t>2026-03-27</t>
        </is>
      </c>
      <c r="F151" t="inlineStr">
        <is>
          <t>2027-03-26</t>
        </is>
      </c>
      <c r="G151" t="inlineStr">
        <is>
          <t>Yes</t>
        </is>
      </c>
      <c r="H151" t="inlineStr">
        <is>
          <t>accident, fire, explosion, self-ignition, lightning, theft, burglary</t>
        </is>
      </c>
      <c r="I151" t="n">
        <v>5922.63</v>
      </c>
      <c r="J151">
        <f>IF(F151="","",IFERROR(INT(F151-TODAY()),""))</f>
        <v/>
      </c>
      <c r="K151">
        <f>IF(J151="","",IF(J151&lt;0,"Expired",IF(J151&lt;=30,"Expiring Soon","Active")))</f>
        <v/>
      </c>
      <c r="L151" t="n">
        <v>1</v>
      </c>
      <c r="M151" t="inlineStr">
        <is>
          <t>Annual</t>
        </is>
      </c>
    </row>
    <row r="152">
      <c r="A152" s="14" t="inlineStr">
        <is>
          <t>DCO-829.pdf</t>
        </is>
      </c>
      <c r="B152" s="14" t="inlineStr">
        <is>
          <t>MD9GED1E25C611495</t>
        </is>
      </c>
      <c r="C152" s="14" t="inlineStr">
        <is>
          <t>Royal Sundaram General Insurance Co. Limited</t>
        </is>
      </c>
      <c r="D152" s="14" t="inlineStr">
        <is>
          <t>VGC1517528000100</t>
        </is>
      </c>
      <c r="E152" s="14" t="inlineStr">
        <is>
          <t>2026-03-27</t>
        </is>
      </c>
      <c r="F152" s="14" t="inlineStr">
        <is>
          <t>2027-03-26</t>
        </is>
      </c>
      <c r="G152" s="14" t="inlineStr">
        <is>
          <t>Yes</t>
        </is>
      </c>
      <c r="H152" s="14" t="inlineStr">
        <is>
          <t>accident, fire, explosion, self-ignition, lightning, theft, burglary, flood, cyclone, storm, earthquake, landslide, riot, strike, terrorism, malicious act, transit</t>
        </is>
      </c>
      <c r="I152" s="14" t="n">
        <v>5906</v>
      </c>
      <c r="J152" s="14">
        <f>IF(F152="","",IFERROR(INT(F152-TODAY()),""))</f>
        <v/>
      </c>
      <c r="K152" s="14">
        <f>IF(J152="","",IF(J152&lt;0,"Expired",IF(J152&lt;=30,"Expiring Soon","Active")))</f>
        <v/>
      </c>
      <c r="L152" s="14" t="n">
        <v>1</v>
      </c>
      <c r="M152" s="14" t="inlineStr">
        <is>
          <t>Annual</t>
        </is>
      </c>
    </row>
    <row r="153">
      <c r="A153" t="inlineStr">
        <is>
          <t>DCO-864.pdf</t>
        </is>
      </c>
      <c r="B153" t="inlineStr">
        <is>
          <t>MD9GED1E25C611505</t>
        </is>
      </c>
      <c r="C153" t="inlineStr">
        <is>
          <t>Royal Sundaram General Insurance Co. Limited</t>
        </is>
      </c>
      <c r="D153" t="inlineStr">
        <is>
          <t>VGC1517146000100</t>
        </is>
      </c>
      <c r="E153" t="inlineStr">
        <is>
          <t>2026-03-27</t>
        </is>
      </c>
      <c r="F153" t="inlineStr">
        <is>
          <t>2027-03-26</t>
        </is>
      </c>
      <c r="G153" t="inlineStr">
        <is>
          <t>Yes</t>
        </is>
      </c>
      <c r="H153" t="inlineStr">
        <is>
          <t>accident, fire, explosion, self-ignition, lightning, theft, burglary, flood, cyclone, storm, earthquake, landslide, riot, strike, terrorism, malicious act, transit</t>
        </is>
      </c>
      <c r="I153" t="n">
        <v>5922.63</v>
      </c>
      <c r="J153">
        <f>IF(F153="","",IFERROR(INT(F153-TODAY()),""))</f>
        <v/>
      </c>
      <c r="K153">
        <f>IF(J153="","",IF(J153&lt;0,"Expired",IF(J153&lt;=30,"Expiring Soon","Active")))</f>
        <v/>
      </c>
      <c r="L153" t="n">
        <v>1</v>
      </c>
      <c r="M153" t="inlineStr">
        <is>
          <t>Annual</t>
        </is>
      </c>
    </row>
    <row r="154">
      <c r="A154" s="14" t="inlineStr">
        <is>
          <t>DDCO-8391.pdf</t>
        </is>
      </c>
      <c r="B154" s="14" t="inlineStr">
        <is>
          <t>MD6EVM1D8S4B00242</t>
        </is>
      </c>
      <c r="C154" s="14" t="inlineStr">
        <is>
          <t>Royal Sundaram General Insurance Co. Limited</t>
        </is>
      </c>
      <c r="D154" s="14" t="inlineStr">
        <is>
          <t>VPV0698779000100</t>
        </is>
      </c>
      <c r="E154" s="14" t="inlineStr">
        <is>
          <t>2026-03-04</t>
        </is>
      </c>
      <c r="F154" s="14" t="inlineStr">
        <is>
          <t>2027-03-03</t>
        </is>
      </c>
      <c r="G154" s="14" t="inlineStr">
        <is>
          <t>Yes</t>
        </is>
      </c>
      <c r="H154" s="14" t="inlineStr">
        <is>
          <t>accident, fire, explosion, self-ignition, lightning, theft, burglary</t>
        </is>
      </c>
      <c r="I154" s="14" t="n">
        <v>6451</v>
      </c>
      <c r="J154" s="14">
        <f>IF(F154="","",IFERROR(INT(F154-TODAY()),""))</f>
        <v/>
      </c>
      <c r="K154" s="14">
        <f>IF(J154="","",IF(J154&lt;0,"Expired",IF(J154&lt;=30,"Expiring Soon","Active")))</f>
        <v/>
      </c>
      <c r="L154" s="14" t="n">
        <v>1</v>
      </c>
      <c r="M154" s="14" t="inlineStr">
        <is>
          <t>Annual</t>
        </is>
      </c>
    </row>
    <row r="155">
      <c r="A155" t="inlineStr">
        <is>
          <t>DDCO-83911.pdf</t>
        </is>
      </c>
      <c r="B155" t="inlineStr">
        <is>
          <t>MD6EVM1D8S4B00242</t>
        </is>
      </c>
      <c r="C155" t="inlineStr">
        <is>
          <t>Royal Sundaram General Insurance Co. Limited</t>
        </is>
      </c>
      <c r="D155" t="inlineStr">
        <is>
          <t>VPV0698779000100</t>
        </is>
      </c>
      <c r="E155" t="inlineStr">
        <is>
          <t>2026-03-04</t>
        </is>
      </c>
      <c r="F155" t="inlineStr">
        <is>
          <t>2027-03-03</t>
        </is>
      </c>
      <c r="G155" t="inlineStr">
        <is>
          <t>Yes</t>
        </is>
      </c>
      <c r="H155" t="inlineStr">
        <is>
          <t>accident, fire, explosion, self-ignition, lightning, theft, burglary, flood, cyclone, storm, earthquake, landslide, riot, strike, terrorism, malicious act, transit</t>
        </is>
      </c>
      <c r="I155" t="n">
        <v>6451</v>
      </c>
      <c r="J155">
        <f>IF(F155="","",IFERROR(INT(F155-TODAY()),""))</f>
        <v/>
      </c>
      <c r="K155">
        <f>IF(J155="","",IF(J155&lt;0,"Expired",IF(J155&lt;=30,"Expiring Soon","Active")))</f>
        <v/>
      </c>
      <c r="L155" t="n">
        <v>1</v>
      </c>
      <c r="M155" t="inlineStr">
        <is>
          <t>Annual</t>
        </is>
      </c>
    </row>
    <row r="156">
      <c r="A156" s="14" t="inlineStr">
        <is>
          <t>DDCO-8401.pdf</t>
        </is>
      </c>
      <c r="B156" s="14" t="inlineStr">
        <is>
          <t>MD6EVM1DXS4B00310</t>
        </is>
      </c>
      <c r="C156" s="14" t="inlineStr">
        <is>
          <t>Royal Sundaram General Insurance Co. Limited</t>
        </is>
      </c>
      <c r="D156" s="14" t="inlineStr">
        <is>
          <t>VPV0698780000100</t>
        </is>
      </c>
      <c r="E156" s="14" t="inlineStr">
        <is>
          <t>2026-03-06</t>
        </is>
      </c>
      <c r="F156" s="14" t="inlineStr">
        <is>
          <t>2027-03-05</t>
        </is>
      </c>
      <c r="G156" s="14" t="inlineStr">
        <is>
          <t>Yes</t>
        </is>
      </c>
      <c r="H156" s="14" t="inlineStr">
        <is>
          <t>accident, fire, explosion, self-ignition, lightning, theft, burglary</t>
        </is>
      </c>
      <c r="I156" s="14" t="n">
        <v>6451</v>
      </c>
      <c r="J156" s="14">
        <f>IF(F156="","",IFERROR(INT(F156-TODAY()),""))</f>
        <v/>
      </c>
      <c r="K156" s="14">
        <f>IF(J156="","",IF(J156&lt;0,"Expired",IF(J156&lt;=30,"Expiring Soon","Active")))</f>
        <v/>
      </c>
      <c r="L156" s="14" t="n">
        <v>1</v>
      </c>
      <c r="M156" s="14" t="inlineStr">
        <is>
          <t>Annual</t>
        </is>
      </c>
    </row>
    <row r="157">
      <c r="A157" t="inlineStr">
        <is>
          <t>DDCO_8881.pdf</t>
        </is>
      </c>
      <c r="B157" t="inlineStr">
        <is>
          <t>P60A2512200006169</t>
        </is>
      </c>
      <c r="C157" t="inlineStr">
        <is>
          <t>Royal Sundaram General Insurance Co. Limited</t>
        </is>
      </c>
      <c r="D157" t="inlineStr">
        <is>
          <t>VPV0699032000100</t>
        </is>
      </c>
      <c r="E157" t="inlineStr">
        <is>
          <t>2026-03-05</t>
        </is>
      </c>
      <c r="F157" t="inlineStr">
        <is>
          <t>2027-03-04</t>
        </is>
      </c>
      <c r="G157" t="inlineStr">
        <is>
          <t>Yes</t>
        </is>
      </c>
      <c r="H157" t="inlineStr">
        <is>
          <t>accident, fire, explosion, self-ignition, lightning, theft, burglary</t>
        </is>
      </c>
      <c r="I157" t="n">
        <v>7435</v>
      </c>
      <c r="J157">
        <f>IF(F157="","",IFERROR(INT(F157-TODAY()),""))</f>
        <v/>
      </c>
      <c r="K157">
        <f>IF(J157="","",IF(J157&lt;0,"Expired",IF(J157&lt;=30,"Expiring Soon","Active")))</f>
        <v/>
      </c>
      <c r="L157" t="n">
        <v>1</v>
      </c>
      <c r="M157" t="inlineStr">
        <is>
          <t>Annual</t>
        </is>
      </c>
    </row>
    <row r="158">
      <c r="A158" s="14" t="inlineStr">
        <is>
          <t>DL1LAK6619.pdf</t>
        </is>
      </c>
      <c r="B158" s="14" t="inlineStr">
        <is>
          <t>MD9EMHDL24H217096</t>
        </is>
      </c>
      <c r="C158" s="14" t="inlineStr">
        <is>
          <t>ICICI Lombard General Insurance Company Limited</t>
        </is>
      </c>
      <c r="D158" s="14" t="inlineStr">
        <is>
          <t>3003/406582959/00/000</t>
        </is>
      </c>
      <c r="E158" s="14" t="inlineStr">
        <is>
          <t>2025-09-02</t>
        </is>
      </c>
      <c r="F158" s="14" t="inlineStr">
        <is>
          <t>2026-09-01</t>
        </is>
      </c>
      <c r="G158" s="14" t="inlineStr">
        <is>
          <t>Yes</t>
        </is>
      </c>
      <c r="H158" s="14" t="inlineStr">
        <is>
          <t>accident, fire, explosion, self-ignition, lightning, theft, burglary</t>
        </is>
      </c>
      <c r="I158" s="14" t="n">
        <v>6998</v>
      </c>
      <c r="J158" s="14">
        <f>IF(F158="","",IFERROR(INT(F158-TODAY()),""))</f>
        <v/>
      </c>
      <c r="K158" s="14">
        <f>IF(J158="","",IF(J158&lt;0,"Expired",IF(J158&lt;=30,"Expiring Soon","Active")))</f>
        <v/>
      </c>
      <c r="L158" s="14" t="n">
        <v>1</v>
      </c>
      <c r="M158" s="14" t="inlineStr">
        <is>
          <t>Annual</t>
        </is>
      </c>
    </row>
    <row r="159">
      <c r="A159" t="inlineStr">
        <is>
          <t>DL1LAK6793.pdf</t>
        </is>
      </c>
      <c r="B159" t="inlineStr">
        <is>
          <t>MD9EMHDL24H217084</t>
        </is>
      </c>
      <c r="C159" t="inlineStr">
        <is>
          <t>ICICI Lombard General Insurance Company Limited</t>
        </is>
      </c>
      <c r="D159" t="inlineStr">
        <is>
          <t>3003/406583281/00/000</t>
        </is>
      </c>
      <c r="E159" t="inlineStr">
        <is>
          <t>2025-09-02</t>
        </is>
      </c>
      <c r="F159" t="inlineStr">
        <is>
          <t>2026-09-01</t>
        </is>
      </c>
      <c r="G159" t="inlineStr">
        <is>
          <t>Yes</t>
        </is>
      </c>
      <c r="H159" t="inlineStr">
        <is>
          <t>accident, fire, explosion, self-ignition, lightning, theft, burglary</t>
        </is>
      </c>
      <c r="I159" t="n">
        <v>6998</v>
      </c>
      <c r="J159">
        <f>IF(F159="","",IFERROR(INT(F159-TODAY()),""))</f>
        <v/>
      </c>
      <c r="K159">
        <f>IF(J159="","",IF(J159&lt;0,"Expired",IF(J159&lt;=30,"Expiring Soon","Active")))</f>
        <v/>
      </c>
      <c r="L159" t="n">
        <v>1</v>
      </c>
      <c r="M159" t="inlineStr">
        <is>
          <t>Annual</t>
        </is>
      </c>
    </row>
    <row r="160">
      <c r="A160" s="14" t="inlineStr">
        <is>
          <t>DL1LAK7495.pdf</t>
        </is>
      </c>
      <c r="B160" s="14" t="inlineStr">
        <is>
          <t>MD9GED1E24I611299</t>
        </is>
      </c>
      <c r="C160" s="14" t="inlineStr">
        <is>
          <t>ICICI Lombard General Insurance Company Limited</t>
        </is>
      </c>
      <c r="D160" s="14" t="inlineStr">
        <is>
          <t>3003/407617632/00/000</t>
        </is>
      </c>
      <c r="E160" s="14" t="inlineStr">
        <is>
          <t>2025-09-27</t>
        </is>
      </c>
      <c r="F160" s="14" t="inlineStr">
        <is>
          <t>2026-09-26</t>
        </is>
      </c>
      <c r="G160" s="14" t="inlineStr">
        <is>
          <t>Yes</t>
        </is>
      </c>
      <c r="H160" s="14" t="inlineStr">
        <is>
          <t>accident, fire, explosion, self-ignition, lightning, theft, burglary</t>
        </is>
      </c>
      <c r="I160" s="14" t="n">
        <v>7439</v>
      </c>
      <c r="J160" s="14">
        <f>IF(F160="","",IFERROR(INT(F160-TODAY()),""))</f>
        <v/>
      </c>
      <c r="K160" s="14">
        <f>IF(J160="","",IF(J160&lt;0,"Expired",IF(J160&lt;=30,"Expiring Soon","Active")))</f>
        <v/>
      </c>
      <c r="L160" s="14" t="n">
        <v>1</v>
      </c>
      <c r="M160" s="14" t="inlineStr">
        <is>
          <t>Annual</t>
        </is>
      </c>
    </row>
    <row r="161">
      <c r="A161" t="inlineStr">
        <is>
          <t>F_-1 (14).pdf</t>
        </is>
      </c>
      <c r="B161" t="inlineStr">
        <is>
          <t>P6DSC12SPAJ001952</t>
        </is>
      </c>
      <c r="C161" t="inlineStr">
        <is>
          <t>The New India Assurance Co. Ltd.</t>
        </is>
      </c>
      <c r="D161" t="inlineStr">
        <is>
          <t>67190131250100004322</t>
        </is>
      </c>
      <c r="E161" t="inlineStr">
        <is>
          <t>2026-01-13</t>
        </is>
      </c>
      <c r="F161" t="inlineStr">
        <is>
          <t>2027-01-12</t>
        </is>
      </c>
      <c r="G161" t="inlineStr">
        <is>
          <t>Yes</t>
        </is>
      </c>
      <c r="H161" t="inlineStr">
        <is>
          <t>accident, fire, explosion, self-ignition, lightning</t>
        </is>
      </c>
      <c r="I161" t="n">
        <v>2050</v>
      </c>
      <c r="J161">
        <f>IF(F161="","",IFERROR(INT(F161-TODAY()),""))</f>
        <v/>
      </c>
      <c r="K161">
        <f>IF(J161="","",IF(J161&lt;0,"Expired",IF(J161&lt;=30,"Expiring Soon","Active")))</f>
        <v/>
      </c>
      <c r="L161" t="n">
        <v>1</v>
      </c>
      <c r="M161" t="inlineStr">
        <is>
          <t>Annual</t>
        </is>
      </c>
    </row>
    <row r="162">
      <c r="A162" s="14" t="inlineStr">
        <is>
          <t>F_-1 (19).pdf</t>
        </is>
      </c>
      <c r="B162" s="14" t="inlineStr">
        <is>
          <t>P6DSC12SPAJ001947</t>
        </is>
      </c>
      <c r="C162" s="14" t="inlineStr">
        <is>
          <t>The New India Assurance Co. Ltd.</t>
        </is>
      </c>
      <c r="D162" s="14" t="inlineStr">
        <is>
          <t>67190131250100004329</t>
        </is>
      </c>
      <c r="E162" s="14" t="inlineStr">
        <is>
          <t>2026-01-13</t>
        </is>
      </c>
      <c r="F162" s="14" t="inlineStr">
        <is>
          <t>2027-01-12</t>
        </is>
      </c>
      <c r="G162" s="14" t="inlineStr">
        <is>
          <t>Yes</t>
        </is>
      </c>
      <c r="H162" s="14" t="inlineStr">
        <is>
          <t>accident, fire, explosion, self-ignition, lightning</t>
        </is>
      </c>
      <c r="I162" s="14" t="n">
        <v>2050</v>
      </c>
      <c r="J162" s="14">
        <f>IF(F162="","",IFERROR(INT(F162-TODAY()),""))</f>
        <v/>
      </c>
      <c r="K162" s="14">
        <f>IF(J162="","",IF(J162&lt;0,"Expired",IF(J162&lt;=30,"Expiring Soon","Active")))</f>
        <v/>
      </c>
      <c r="L162" s="14" t="n">
        <v>1</v>
      </c>
      <c r="M162" s="14" t="inlineStr">
        <is>
          <t>Annual</t>
        </is>
      </c>
    </row>
    <row r="163">
      <c r="A163" t="inlineStr">
        <is>
          <t>F_-1 (25).pdf</t>
        </is>
      </c>
      <c r="B163" t="inlineStr">
        <is>
          <t>P6DSC12SPAJ001942</t>
        </is>
      </c>
      <c r="C163" t="inlineStr">
        <is>
          <t>The New India Assurance Co. Ltd.</t>
        </is>
      </c>
      <c r="D163" t="inlineStr">
        <is>
          <t>67190131250100004336</t>
        </is>
      </c>
      <c r="E163" t="inlineStr">
        <is>
          <t>2026-01-13</t>
        </is>
      </c>
      <c r="F163" t="inlineStr">
        <is>
          <t>2027-01-12</t>
        </is>
      </c>
      <c r="G163" t="inlineStr">
        <is>
          <t>Yes</t>
        </is>
      </c>
      <c r="H163" t="inlineStr">
        <is>
          <t>accident</t>
        </is>
      </c>
      <c r="I163" t="n">
        <v>2050</v>
      </c>
      <c r="J163">
        <f>IF(F163="","",IFERROR(INT(F163-TODAY()),""))</f>
        <v/>
      </c>
      <c r="K163">
        <f>IF(J163="","",IF(J163&lt;0,"Expired",IF(J163&lt;=30,"Expiring Soon","Active")))</f>
        <v/>
      </c>
      <c r="L163" t="n">
        <v>1</v>
      </c>
      <c r="M163" t="inlineStr">
        <is>
          <t>Annual</t>
        </is>
      </c>
    </row>
    <row r="164">
      <c r="A164" s="14" t="inlineStr">
        <is>
          <t>F_-1 (27).pdf</t>
        </is>
      </c>
      <c r="B164" s="14" t="inlineStr">
        <is>
          <t>P6DSC12SPAJ001935</t>
        </is>
      </c>
      <c r="C164" s="14" t="inlineStr">
        <is>
          <t>The New India Assurance Co. Ltd.</t>
        </is>
      </c>
      <c r="D164" s="14" t="inlineStr">
        <is>
          <t>67190131250100004341</t>
        </is>
      </c>
      <c r="E164" s="14" t="inlineStr">
        <is>
          <t>2026-01-13</t>
        </is>
      </c>
      <c r="F164" s="14" t="inlineStr">
        <is>
          <t>2027-01-12</t>
        </is>
      </c>
      <c r="G164" s="14" t="inlineStr">
        <is>
          <t>Yes</t>
        </is>
      </c>
      <c r="H164" s="14" t="inlineStr">
        <is>
          <t>accident</t>
        </is>
      </c>
      <c r="I164" s="14" t="n">
        <v>2050</v>
      </c>
      <c r="J164" s="14">
        <f>IF(F164="","",IFERROR(INT(F164-TODAY()),""))</f>
        <v/>
      </c>
      <c r="K164" s="14">
        <f>IF(J164="","",IF(J164&lt;0,"Expired",IF(J164&lt;=30,"Expiring Soon","Active")))</f>
        <v/>
      </c>
      <c r="L164" s="14" t="n">
        <v>1</v>
      </c>
      <c r="M164" s="14" t="inlineStr">
        <is>
          <t>Annual</t>
        </is>
      </c>
    </row>
    <row r="165">
      <c r="A165" t="inlineStr">
        <is>
          <t>F_-1 (39).pdf</t>
        </is>
      </c>
      <c r="B165" t="inlineStr">
        <is>
          <t>P6DSC12SPAJ001930</t>
        </is>
      </c>
      <c r="C165" t="inlineStr">
        <is>
          <t>The New India Assurance Co. Ltd.</t>
        </is>
      </c>
      <c r="D165" t="inlineStr">
        <is>
          <t>67190131250100004348</t>
        </is>
      </c>
      <c r="E165" t="inlineStr">
        <is>
          <t>2026-01-13</t>
        </is>
      </c>
      <c r="F165" t="inlineStr">
        <is>
          <t>2027-01-12</t>
        </is>
      </c>
      <c r="G165" t="inlineStr">
        <is>
          <t>Yes</t>
        </is>
      </c>
      <c r="H165" t="inlineStr">
        <is>
          <t>accident</t>
        </is>
      </c>
      <c r="I165" t="n">
        <v>2050</v>
      </c>
      <c r="J165">
        <f>IF(F165="","",IFERROR(INT(F165-TODAY()),""))</f>
        <v/>
      </c>
      <c r="K165">
        <f>IF(J165="","",IF(J165&lt;0,"Expired",IF(J165&lt;=30,"Expiring Soon","Active")))</f>
        <v/>
      </c>
      <c r="L165" t="n">
        <v>1</v>
      </c>
      <c r="M165" t="inlineStr">
        <is>
          <t>Annual</t>
        </is>
      </c>
    </row>
    <row r="166">
      <c r="A166" s="14" t="inlineStr">
        <is>
          <t>F_-1 (47).pdf</t>
        </is>
      </c>
      <c r="B166" s="14" t="inlineStr">
        <is>
          <t>P6DSC12SPBA002073</t>
        </is>
      </c>
      <c r="C166" s="14" t="inlineStr">
        <is>
          <t>The New India Assurance Co. Ltd.</t>
        </is>
      </c>
      <c r="D166" s="14" t="inlineStr">
        <is>
          <t>67190131250100004357</t>
        </is>
      </c>
      <c r="E166" s="14" t="inlineStr">
        <is>
          <t>2026-01-13</t>
        </is>
      </c>
      <c r="F166" s="14" t="inlineStr">
        <is>
          <t>2027-01-12</t>
        </is>
      </c>
      <c r="G166" s="14" t="inlineStr">
        <is>
          <t>Yes</t>
        </is>
      </c>
      <c r="H166" s="14" t="inlineStr">
        <is>
          <t>accident</t>
        </is>
      </c>
      <c r="I166" s="14" t="n">
        <v>2050</v>
      </c>
      <c r="J166" s="14">
        <f>IF(F166="","",IFERROR(INT(F166-TODAY()),""))</f>
        <v/>
      </c>
      <c r="K166" s="14">
        <f>IF(J166="","",IF(J166&lt;0,"Expired",IF(J166&lt;=30,"Expiring Soon","Active")))</f>
        <v/>
      </c>
      <c r="L166" s="14" t="n">
        <v>1</v>
      </c>
      <c r="M166" s="14" t="inlineStr">
        <is>
          <t>Annual</t>
        </is>
      </c>
    </row>
    <row r="167">
      <c r="A167" t="inlineStr">
        <is>
          <t>F_-1 (5).pdf</t>
        </is>
      </c>
      <c r="B167" t="inlineStr">
        <is>
          <t>P6DSC12SPAJ001923</t>
        </is>
      </c>
      <c r="C167" t="inlineStr">
        <is>
          <t>The New India Assurance Co. Ltd.</t>
        </is>
      </c>
      <c r="D167" t="inlineStr">
        <is>
          <t>67190131250100004312</t>
        </is>
      </c>
      <c r="E167" t="inlineStr">
        <is>
          <t>2026-01-13</t>
        </is>
      </c>
      <c r="F167" t="inlineStr">
        <is>
          <t>2027-01-12</t>
        </is>
      </c>
      <c r="G167" t="inlineStr">
        <is>
          <t>Yes</t>
        </is>
      </c>
      <c r="H167" t="inlineStr">
        <is>
          <t>accident</t>
        </is>
      </c>
      <c r="I167" t="n">
        <v>2050</v>
      </c>
      <c r="J167">
        <f>IF(F167="","",IFERROR(INT(F167-TODAY()),""))</f>
        <v/>
      </c>
      <c r="K167">
        <f>IF(J167="","",IF(J167&lt;0,"Expired",IF(J167&lt;=30,"Expiring Soon","Active")))</f>
        <v/>
      </c>
      <c r="L167" t="n">
        <v>1</v>
      </c>
      <c r="M167" t="inlineStr">
        <is>
          <t>Annual</t>
        </is>
      </c>
    </row>
    <row r="168">
      <c r="A168" s="14" t="inlineStr">
        <is>
          <t>F_-1 (8).pdf</t>
        </is>
      </c>
      <c r="B168" s="14" t="inlineStr">
        <is>
          <t>P6DSC12SPAJ001959</t>
        </is>
      </c>
      <c r="C168" s="14" t="inlineStr">
        <is>
          <t>The New India Assurance Co. Ltd.</t>
        </is>
      </c>
      <c r="D168" s="14" t="inlineStr">
        <is>
          <t>67190131250100004318</t>
        </is>
      </c>
      <c r="E168" s="14" t="inlineStr">
        <is>
          <t>2026-01-13</t>
        </is>
      </c>
      <c r="F168" s="14" t="inlineStr">
        <is>
          <t>2027-01-12</t>
        </is>
      </c>
      <c r="G168" s="14" t="inlineStr">
        <is>
          <t>Yes</t>
        </is>
      </c>
      <c r="H168" s="14" t="inlineStr">
        <is>
          <t>accident, fire, explosion, self-ignition, lightning, theft, burglary, flood, cyclone, storm, earthquake, landslide, riot, strike, terrorism, malicious act, transit</t>
        </is>
      </c>
      <c r="I168" s="14" t="n">
        <v>2050</v>
      </c>
      <c r="J168" s="14">
        <f>IF(F168="","",IFERROR(INT(F168-TODAY()),""))</f>
        <v/>
      </c>
      <c r="K168" s="14">
        <f>IF(J168="","",IF(J168&lt;0,"Expired",IF(J168&lt;=30,"Expiring Soon","Active")))</f>
        <v/>
      </c>
      <c r="L168" s="14" t="n">
        <v>1</v>
      </c>
      <c r="M168" s="14" t="inlineStr">
        <is>
          <t>Annual</t>
        </is>
      </c>
    </row>
    <row r="169">
      <c r="A169" t="inlineStr">
        <is>
          <t>GOLDEN 1581.pdf</t>
        </is>
      </c>
      <c r="B169" t="inlineStr">
        <is>
          <t>MD9GED1E25F611581</t>
        </is>
      </c>
      <c r="C169" t="inlineStr">
        <is>
          <t>UNITED INDIA INSURANCE COMPANY LIMITED</t>
        </is>
      </c>
      <c r="D169" t="inlineStr">
        <is>
          <t>2019013125P103686192</t>
        </is>
      </c>
      <c r="E169" t="inlineStr">
        <is>
          <t>2025-06-04</t>
        </is>
      </c>
      <c r="F169" t="inlineStr">
        <is>
          <t>2026-06-03</t>
        </is>
      </c>
      <c r="G169" t="inlineStr">
        <is>
          <t>Yes</t>
        </is>
      </c>
      <c r="H169" t="inlineStr">
        <is>
          <t>accident, fire, explosion, self-ignition, lightning, theft, burglary, flood, cyclone, storm, earthquake, landslide, riot, strike, terrorism, malicious act, transit</t>
        </is>
      </c>
      <c r="I169" t="n">
        <v>5577</v>
      </c>
      <c r="J169">
        <f>IF(F169="","",IFERROR(INT(F169-TODAY()),""))</f>
        <v/>
      </c>
      <c r="K169">
        <f>IF(J169="","",IF(J169&lt;0,"Expired",IF(J169&lt;=30,"Expiring Soon","Active")))</f>
        <v/>
      </c>
      <c r="L169" t="n">
        <v>1</v>
      </c>
      <c r="M169" t="inlineStr">
        <is>
          <t>Annual</t>
        </is>
      </c>
    </row>
    <row r="170">
      <c r="A170" s="14" t="inlineStr">
        <is>
          <t>GOLDEN 1582.pdf</t>
        </is>
      </c>
      <c r="B170" s="14" t="inlineStr">
        <is>
          <t>MD9GED1E25F611582</t>
        </is>
      </c>
      <c r="C170" s="14" t="inlineStr">
        <is>
          <t>UNITED INDIA INSURANCE COMPANY LIMITED</t>
        </is>
      </c>
      <c r="D170" s="14" t="inlineStr">
        <is>
          <t>2019013125P103685027</t>
        </is>
      </c>
      <c r="E170" s="14" t="inlineStr">
        <is>
          <t>2025-06-04</t>
        </is>
      </c>
      <c r="F170" s="14" t="inlineStr">
        <is>
          <t>2026-06-03</t>
        </is>
      </c>
      <c r="G170" s="14" t="inlineStr">
        <is>
          <t>Yes</t>
        </is>
      </c>
      <c r="H170" s="14" t="inlineStr">
        <is>
          <t>accident</t>
        </is>
      </c>
      <c r="I170" s="14" t="n">
        <v>5577</v>
      </c>
      <c r="J170" s="14">
        <f>IF(F170="","",IFERROR(INT(F170-TODAY()),""))</f>
        <v/>
      </c>
      <c r="K170" s="14">
        <f>IF(J170="","",IF(J170&lt;0,"Expired",IF(J170&lt;=30,"Expiring Soon","Active")))</f>
        <v/>
      </c>
      <c r="L170" s="14" t="n">
        <v>1</v>
      </c>
      <c r="M170" s="14" t="inlineStr">
        <is>
          <t>Annual</t>
        </is>
      </c>
    </row>
    <row r="171">
      <c r="A171" t="inlineStr">
        <is>
          <t>GOLDEN 1589.pdf</t>
        </is>
      </c>
      <c r="B171" t="inlineStr">
        <is>
          <t>MD9GED1E25F611589</t>
        </is>
      </c>
      <c r="C171" t="inlineStr">
        <is>
          <t>UNITED INDIA INSURANCE COMPANY LIMITED</t>
        </is>
      </c>
      <c r="D171" t="inlineStr">
        <is>
          <t>2019013125P103686501</t>
        </is>
      </c>
      <c r="E171" t="inlineStr">
        <is>
          <t>2025-06-04</t>
        </is>
      </c>
      <c r="F171" t="inlineStr">
        <is>
          <t>2026-06-03</t>
        </is>
      </c>
      <c r="G171" t="inlineStr">
        <is>
          <t>Yes</t>
        </is>
      </c>
      <c r="H171" t="inlineStr">
        <is>
          <t>accident</t>
        </is>
      </c>
      <c r="I171" t="n">
        <v>5577</v>
      </c>
      <c r="J171">
        <f>IF(F171="","",IFERROR(INT(F171-TODAY()),""))</f>
        <v/>
      </c>
      <c r="K171">
        <f>IF(J171="","",IF(J171&lt;0,"Expired",IF(J171&lt;=30,"Expiring Soon","Active")))</f>
        <v/>
      </c>
      <c r="L171" t="n">
        <v>1</v>
      </c>
      <c r="M171" t="inlineStr">
        <is>
          <t>Annual</t>
        </is>
      </c>
    </row>
    <row r="172">
      <c r="A172" s="14" t="inlineStr">
        <is>
          <t>GOLEN 1588.pdf</t>
        </is>
      </c>
      <c r="B172" s="14" t="inlineStr">
        <is>
          <t>MD9GED1E25F611588</t>
        </is>
      </c>
      <c r="C172" s="14" t="inlineStr">
        <is>
          <t>UNITED INDIA INSURANCE COMPANY LIMITED</t>
        </is>
      </c>
      <c r="D172" s="14" t="inlineStr">
        <is>
          <t>2019013125P103687114</t>
        </is>
      </c>
      <c r="E172" s="14" t="inlineStr">
        <is>
          <t>2025-06-04</t>
        </is>
      </c>
      <c r="F172" s="14" t="inlineStr">
        <is>
          <t>2026-06-03</t>
        </is>
      </c>
      <c r="G172" s="14" t="inlineStr">
        <is>
          <t>Yes</t>
        </is>
      </c>
      <c r="H172" s="14" t="inlineStr">
        <is>
          <t>accident, fire, explosion, self-ignition, lightning</t>
        </is>
      </c>
      <c r="I172" s="14" t="n">
        <v>5577</v>
      </c>
      <c r="J172" s="14">
        <f>IF(F172="","",IFERROR(INT(F172-TODAY()),""))</f>
        <v/>
      </c>
      <c r="K172" s="14">
        <f>IF(J172="","",IF(J172&lt;0,"Expired",IF(J172&lt;=30,"Expiring Soon","Active")))</f>
        <v/>
      </c>
      <c r="L172" s="14" t="n">
        <v>1</v>
      </c>
      <c r="M172" s="14" t="inlineStr">
        <is>
          <t>Annual</t>
        </is>
      </c>
    </row>
    <row r="173">
      <c r="A173" t="inlineStr">
        <is>
          <t>M2TSH2E12S2C01726.pdf</t>
        </is>
      </c>
      <c r="B173" t="inlineStr">
        <is>
          <t>M2TSH2E12S2C01726</t>
        </is>
      </c>
      <c r="C173" t="inlineStr">
        <is>
          <t>Royal Sundaram General Insurance Co. Limited</t>
        </is>
      </c>
      <c r="D173" t="inlineStr">
        <is>
          <t>VGC1364322000100</t>
        </is>
      </c>
      <c r="E173" t="inlineStr">
        <is>
          <t>2025-07-07</t>
        </is>
      </c>
      <c r="F173" t="inlineStr">
        <is>
          <t>2026-07-06</t>
        </is>
      </c>
      <c r="G173" t="inlineStr">
        <is>
          <t>Yes</t>
        </is>
      </c>
      <c r="H173" t="inlineStr">
        <is>
          <t>accident, fire, explosion, self-ignition, lightning, theft, burglary, flood, cyclone, storm, earthquake, landslide, riot, strike, terrorism, malicious act, transit</t>
        </is>
      </c>
      <c r="I173" t="n">
        <v>7538</v>
      </c>
      <c r="J173">
        <f>IF(F173="","",IFERROR(INT(F173-TODAY()),""))</f>
        <v/>
      </c>
      <c r="K173">
        <f>IF(J173="","",IF(J173&lt;0,"Expired",IF(J173&lt;=30,"Expiring Soon","Active")))</f>
        <v/>
      </c>
      <c r="L173" t="n">
        <v>1</v>
      </c>
      <c r="M173" t="inlineStr">
        <is>
          <t>Annual</t>
        </is>
      </c>
    </row>
    <row r="174">
      <c r="A174" s="14" t="inlineStr">
        <is>
          <t>M2TSH2E12S2D01827.pdf</t>
        </is>
      </c>
      <c r="B174" s="14" t="inlineStr">
        <is>
          <t>M2TSH2E12S2D01827</t>
        </is>
      </c>
      <c r="C174" s="14" t="inlineStr">
        <is>
          <t>Magma General Insurance Limited</t>
        </is>
      </c>
      <c r="D174" s="14" t="inlineStr">
        <is>
          <t>P0026100023/4103/100468</t>
        </is>
      </c>
      <c r="E174" s="14" t="inlineStr">
        <is>
          <t>2025-05-10</t>
        </is>
      </c>
      <c r="F174" s="14" t="inlineStr">
        <is>
          <t>2026-05-09</t>
        </is>
      </c>
      <c r="G174" s="14" t="inlineStr">
        <is>
          <t>Yes</t>
        </is>
      </c>
      <c r="H174" s="14" t="inlineStr">
        <is>
          <t>accident, fire, explosion, theft</t>
        </is>
      </c>
      <c r="I174" s="14" t="n">
        <v>6990</v>
      </c>
      <c r="J174" s="14">
        <f>IF(F174="","",IFERROR(INT(F174-TODAY()),""))</f>
        <v/>
      </c>
      <c r="K174" s="14">
        <f>IF(J174="","",IF(J174&lt;0,"Expired",IF(J174&lt;=30,"Expiring Soon","Active")))</f>
        <v/>
      </c>
      <c r="L174" s="14" t="n">
        <v>1</v>
      </c>
      <c r="M174" s="14" t="inlineStr">
        <is>
          <t>Annual</t>
        </is>
      </c>
    </row>
    <row r="175">
      <c r="A175" t="inlineStr">
        <is>
          <t>M2TSH2E12S2E01834.pdf</t>
        </is>
      </c>
      <c r="B175" t="inlineStr">
        <is>
          <t>M2TSH2E12S2E01834</t>
        </is>
      </c>
      <c r="C175" t="inlineStr">
        <is>
          <t>Royal Sundaram General Insurance Co. Limited</t>
        </is>
      </c>
      <c r="D175" t="inlineStr">
        <is>
          <t>VGC1364280000100</t>
        </is>
      </c>
      <c r="E175" t="inlineStr">
        <is>
          <t>2025-07-07</t>
        </is>
      </c>
      <c r="F175" t="inlineStr">
        <is>
          <t>2026-07-06</t>
        </is>
      </c>
      <c r="G175" t="inlineStr">
        <is>
          <t>Yes</t>
        </is>
      </c>
      <c r="H175" t="inlineStr">
        <is>
          <t>accident, fire, explosion, self-ignition, lightning, theft, burglary, flood, cyclone, storm, earthquake, landslide, riot, strike, terrorism, malicious act, transit</t>
        </is>
      </c>
      <c r="I175" t="n">
        <v>7538</v>
      </c>
      <c r="J175">
        <f>IF(F175="","",IFERROR(INT(F175-TODAY()),""))</f>
        <v/>
      </c>
      <c r="K175">
        <f>IF(J175="","",IF(J175&lt;0,"Expired",IF(J175&lt;=30,"Expiring Soon","Active")))</f>
        <v/>
      </c>
      <c r="L175" t="n">
        <v>1</v>
      </c>
      <c r="M175" t="inlineStr">
        <is>
          <t>Annual</t>
        </is>
      </c>
    </row>
    <row r="176">
      <c r="A176" s="14" t="inlineStr">
        <is>
          <t>M2TSH2E12S2E01837.pdf</t>
        </is>
      </c>
      <c r="B176" s="14" t="inlineStr">
        <is>
          <t>M2TSH2E12S2E01837</t>
        </is>
      </c>
      <c r="C176" s="14" t="inlineStr">
        <is>
          <t>Royal Sundaram General Insurance Co. Limited</t>
        </is>
      </c>
      <c r="D176" s="14" t="inlineStr">
        <is>
          <t>VGC1364304000100</t>
        </is>
      </c>
      <c r="E176" s="14" t="inlineStr">
        <is>
          <t>2025-07-07</t>
        </is>
      </c>
      <c r="F176" s="14" t="inlineStr">
        <is>
          <t>2026-07-06</t>
        </is>
      </c>
      <c r="G176" s="14" t="inlineStr">
        <is>
          <t>Yes</t>
        </is>
      </c>
      <c r="H176" s="14" t="inlineStr">
        <is>
          <t>accident, fire, explosion, self-ignition, lightning, theft, burglary, flood, cyclone, storm, earthquake, landslide, riot, strike, terrorism, malicious act, transit</t>
        </is>
      </c>
      <c r="I176" s="14" t="n">
        <v>7538</v>
      </c>
      <c r="J176" s="14">
        <f>IF(F176="","",IFERROR(INT(F176-TODAY()),""))</f>
        <v/>
      </c>
      <c r="K176" s="14">
        <f>IF(J176="","",IF(J176&lt;0,"Expired",IF(J176&lt;=30,"Expiring Soon","Active")))</f>
        <v/>
      </c>
      <c r="L176" s="14" t="n">
        <v>1</v>
      </c>
      <c r="M176" s="14" t="inlineStr">
        <is>
          <t>Annual</t>
        </is>
      </c>
    </row>
    <row r="177">
      <c r="A177" t="inlineStr">
        <is>
          <t>M2TSH2E12S2E01842.pdf</t>
        </is>
      </c>
      <c r="B177" t="inlineStr">
        <is>
          <t>M2TSH2E12S2E01842</t>
        </is>
      </c>
      <c r="C177" t="inlineStr">
        <is>
          <t>Royal Sundaram General Insurance Co. Limited</t>
        </is>
      </c>
      <c r="D177" t="inlineStr">
        <is>
          <t>VGC1364309000100</t>
        </is>
      </c>
      <c r="E177" t="inlineStr">
        <is>
          <t>2025-07-07</t>
        </is>
      </c>
      <c r="F177" t="inlineStr">
        <is>
          <t>2026-07-06</t>
        </is>
      </c>
      <c r="G177" t="inlineStr">
        <is>
          <t>Yes</t>
        </is>
      </c>
      <c r="H177" t="inlineStr">
        <is>
          <t>accident, fire, explosion, self-ignition, lightning, theft, burglary, flood, cyclone, storm, earthquake, landslide, riot, strike, terrorism, malicious act, transit</t>
        </is>
      </c>
      <c r="I177" t="n">
        <v>7538</v>
      </c>
      <c r="J177">
        <f>IF(F177="","",IFERROR(INT(F177-TODAY()),""))</f>
        <v/>
      </c>
      <c r="K177">
        <f>IF(J177="","",IF(J177&lt;0,"Expired",IF(J177&lt;=30,"Expiring Soon","Active")))</f>
        <v/>
      </c>
      <c r="L177" t="n">
        <v>1</v>
      </c>
      <c r="M177" t="inlineStr">
        <is>
          <t>Annual</t>
        </is>
      </c>
    </row>
    <row r="178">
      <c r="A178" s="14" t="inlineStr">
        <is>
          <t>M2TSH2E12S2E01848.pdf</t>
        </is>
      </c>
      <c r="B178" s="14" t="inlineStr">
        <is>
          <t>M2TSH2E12S2E01848</t>
        </is>
      </c>
      <c r="C178" s="14" t="inlineStr">
        <is>
          <t>Royal Sundaram General Insurance Co. Limited</t>
        </is>
      </c>
      <c r="D178" s="14" t="inlineStr">
        <is>
          <t>VGC1364315000100</t>
        </is>
      </c>
      <c r="E178" s="14" t="inlineStr">
        <is>
          <t>2025-07-07</t>
        </is>
      </c>
      <c r="F178" s="14" t="inlineStr">
        <is>
          <t>2026-07-06</t>
        </is>
      </c>
      <c r="G178" s="14" t="inlineStr">
        <is>
          <t>Yes</t>
        </is>
      </c>
      <c r="H178" s="14" t="inlineStr">
        <is>
          <t>accident, fire, explosion, self-ignition, lightning, theft, burglary, flood, cyclone, storm, earthquake, landslide, riot, strike, terrorism, malicious act, transit</t>
        </is>
      </c>
      <c r="I178" s="14" t="n">
        <v>7538</v>
      </c>
      <c r="J178" s="14">
        <f>IF(F178="","",IFERROR(INT(F178-TODAY()),""))</f>
        <v/>
      </c>
      <c r="K178" s="14">
        <f>IF(J178="","",IF(J178&lt;0,"Expired",IF(J178&lt;=30,"Expiring Soon","Active")))</f>
        <v/>
      </c>
      <c r="L178" s="14" t="n">
        <v>1</v>
      </c>
      <c r="M178" s="14" t="inlineStr">
        <is>
          <t>Annual</t>
        </is>
      </c>
    </row>
    <row r="179">
      <c r="A179" t="inlineStr">
        <is>
          <t>M2TSH2E12S2E01855.pdf</t>
        </is>
      </c>
      <c r="B179" t="inlineStr">
        <is>
          <t>M2TSH2E12S2E01855</t>
        </is>
      </c>
      <c r="C179" t="inlineStr">
        <is>
          <t>Royal Sundaram General Insurance Co. Limited</t>
        </is>
      </c>
      <c r="D179" t="inlineStr">
        <is>
          <t>VGC1364295000100</t>
        </is>
      </c>
      <c r="E179" t="inlineStr">
        <is>
          <t>2025-07-07</t>
        </is>
      </c>
      <c r="F179" t="inlineStr">
        <is>
          <t>2026-07-06</t>
        </is>
      </c>
      <c r="G179" t="inlineStr">
        <is>
          <t>Yes</t>
        </is>
      </c>
      <c r="H179" t="inlineStr">
        <is>
          <t>accident, fire, explosion, self-ignition, lightning, theft, burglary, flood, cyclone, storm, earthquake, landslide, riot, strike, terrorism, malicious act, transit</t>
        </is>
      </c>
      <c r="I179" t="n">
        <v>7538</v>
      </c>
      <c r="J179">
        <f>IF(F179="","",IFERROR(INT(F179-TODAY()),""))</f>
        <v/>
      </c>
      <c r="K179">
        <f>IF(J179="","",IF(J179&lt;0,"Expired",IF(J179&lt;=30,"Expiring Soon","Active")))</f>
        <v/>
      </c>
      <c r="L179" t="n">
        <v>1</v>
      </c>
      <c r="M179" t="inlineStr">
        <is>
          <t>Annual</t>
        </is>
      </c>
    </row>
    <row r="180">
      <c r="A180" s="14" t="inlineStr">
        <is>
          <t>M2TSH2E12S2E01860.pdf</t>
        </is>
      </c>
      <c r="B180" s="14" t="inlineStr">
        <is>
          <t>M2TSH2E12S2E01860</t>
        </is>
      </c>
      <c r="C180" s="14" t="inlineStr">
        <is>
          <t>Royal Sundaram General Insurance Co. Limited</t>
        </is>
      </c>
      <c r="D180" s="14" t="inlineStr">
        <is>
          <t>VGC1364179000100</t>
        </is>
      </c>
      <c r="E180" s="14" t="inlineStr">
        <is>
          <t>2025-07-07</t>
        </is>
      </c>
      <c r="F180" s="14" t="inlineStr">
        <is>
          <t>2026-07-06</t>
        </is>
      </c>
      <c r="G180" s="14" t="inlineStr">
        <is>
          <t>Yes</t>
        </is>
      </c>
      <c r="H180" s="14" t="inlineStr">
        <is>
          <t>accident, fire, explosion, self-ignition, lightning, theft, burglary</t>
        </is>
      </c>
      <c r="I180" s="14" t="n">
        <v>7538</v>
      </c>
      <c r="J180" s="14">
        <f>IF(F180="","",IFERROR(INT(F180-TODAY()),""))</f>
        <v/>
      </c>
      <c r="K180" s="14">
        <f>IF(J180="","",IF(J180&lt;0,"Expired",IF(J180&lt;=30,"Expiring Soon","Active")))</f>
        <v/>
      </c>
      <c r="L180" s="14" t="n">
        <v>1</v>
      </c>
      <c r="M180" s="14" t="inlineStr">
        <is>
          <t>Annual</t>
        </is>
      </c>
    </row>
    <row r="181">
      <c r="A181" t="inlineStr">
        <is>
          <t>M2TSH2E12S2E01863.pdf</t>
        </is>
      </c>
      <c r="B181" t="inlineStr">
        <is>
          <t>M2TSH2E12S2E01863</t>
        </is>
      </c>
      <c r="C181" t="inlineStr">
        <is>
          <t>Royal Sundaram General Insurance Co. Limited</t>
        </is>
      </c>
      <c r="D181" t="inlineStr">
        <is>
          <t>VGC1364183000100</t>
        </is>
      </c>
      <c r="E181" t="inlineStr">
        <is>
          <t>2025-07-07</t>
        </is>
      </c>
      <c r="F181" t="inlineStr">
        <is>
          <t>2026-07-06</t>
        </is>
      </c>
      <c r="G181" t="inlineStr">
        <is>
          <t>Yes</t>
        </is>
      </c>
      <c r="H181" t="inlineStr">
        <is>
          <t>accident, fire, explosion, self-ignition, lightning, theft, burglary</t>
        </is>
      </c>
      <c r="I181" t="n">
        <v>7538</v>
      </c>
      <c r="J181">
        <f>IF(F181="","",IFERROR(INT(F181-TODAY()),""))</f>
        <v/>
      </c>
      <c r="K181">
        <f>IF(J181="","",IF(J181&lt;0,"Expired",IF(J181&lt;=30,"Expiring Soon","Active")))</f>
        <v/>
      </c>
      <c r="L181" t="n">
        <v>1</v>
      </c>
      <c r="M181" t="inlineStr">
        <is>
          <t>Annual</t>
        </is>
      </c>
    </row>
    <row r="182">
      <c r="A182" s="14" t="inlineStr">
        <is>
          <t>M2TSH2E12S2E01867.pdf</t>
        </is>
      </c>
      <c r="B182" s="14" t="inlineStr">
        <is>
          <t>M2TSH2E12S2E01867</t>
        </is>
      </c>
      <c r="C182" s="14" t="inlineStr">
        <is>
          <t>Royal Sundaram General Insurance Co. Limited</t>
        </is>
      </c>
      <c r="D182" s="14" t="inlineStr">
        <is>
          <t>VGC1364232000100</t>
        </is>
      </c>
      <c r="E182" s="14" t="inlineStr">
        <is>
          <t>2025-07-07</t>
        </is>
      </c>
      <c r="F182" s="14" t="inlineStr">
        <is>
          <t>2026-07-06</t>
        </is>
      </c>
      <c r="G182" s="14" t="inlineStr">
        <is>
          <t>Yes</t>
        </is>
      </c>
      <c r="H182" s="14" t="inlineStr">
        <is>
          <t>accident, fire, explosion, self-ignition, lightning, theft, burglary, flood, cyclone, storm, earthquake, landslide, riot, strike, terrorism, malicious act, transit</t>
        </is>
      </c>
      <c r="I182" s="14" t="n">
        <v>7538</v>
      </c>
      <c r="J182" s="14">
        <f>IF(F182="","",IFERROR(INT(F182-TODAY()),""))</f>
        <v/>
      </c>
      <c r="K182" s="14">
        <f>IF(J182="","",IF(J182&lt;0,"Expired",IF(J182&lt;=30,"Expiring Soon","Active")))</f>
        <v/>
      </c>
      <c r="L182" s="14" t="n">
        <v>1</v>
      </c>
      <c r="M182" s="14" t="inlineStr">
        <is>
          <t>Annual</t>
        </is>
      </c>
    </row>
    <row r="183">
      <c r="A183" t="inlineStr">
        <is>
          <t>M2TSH2E12S2E01869.pdf</t>
        </is>
      </c>
      <c r="B183" t="inlineStr">
        <is>
          <t>M2TSH2E12S2E01869</t>
        </is>
      </c>
      <c r="C183" t="inlineStr">
        <is>
          <t>Royal Sundaram General Insurance Co. Limited</t>
        </is>
      </c>
      <c r="D183" t="inlineStr">
        <is>
          <t>VGC1364234000100</t>
        </is>
      </c>
      <c r="E183" t="inlineStr">
        <is>
          <t>2025-07-07</t>
        </is>
      </c>
      <c r="F183" t="inlineStr">
        <is>
          <t>2026-07-06</t>
        </is>
      </c>
      <c r="G183" t="inlineStr">
        <is>
          <t>Yes</t>
        </is>
      </c>
      <c r="H183" t="inlineStr">
        <is>
          <t>accident, fire, explosion, self-ignition, lightning, theft, burglary, flood, cyclone, storm, earthquake, landslide, riot, strike, terrorism, malicious act, transit</t>
        </is>
      </c>
      <c r="I183" t="n">
        <v>7538</v>
      </c>
      <c r="J183">
        <f>IF(F183="","",IFERROR(INT(F183-TODAY()),""))</f>
        <v/>
      </c>
      <c r="K183">
        <f>IF(J183="","",IF(J183&lt;0,"Expired",IF(J183&lt;=30,"Expiring Soon","Active")))</f>
        <v/>
      </c>
      <c r="L183" t="n">
        <v>1</v>
      </c>
      <c r="M183" t="inlineStr">
        <is>
          <t>Annual</t>
        </is>
      </c>
    </row>
    <row r="184">
      <c r="A184" s="14" t="inlineStr">
        <is>
          <t>M2TSH2E12S2F02062.pdf</t>
        </is>
      </c>
      <c r="B184" s="14" t="inlineStr">
        <is>
          <t>M2TSH2E12S2F02062</t>
        </is>
      </c>
      <c r="C184" s="14" t="inlineStr">
        <is>
          <t>Royal Sundaram General Insurance Co. Limited</t>
        </is>
      </c>
      <c r="D184" s="14" t="inlineStr">
        <is>
          <t>VGC1409035000100</t>
        </is>
      </c>
      <c r="E184" s="14" t="inlineStr">
        <is>
          <t>2025-09-09</t>
        </is>
      </c>
      <c r="F184" s="14" t="inlineStr">
        <is>
          <t>2026-09-08</t>
        </is>
      </c>
      <c r="G184" s="14" t="inlineStr">
        <is>
          <t>Yes</t>
        </is>
      </c>
      <c r="H184" s="14" t="inlineStr">
        <is>
          <t>accident, fire, explosion, self-ignition, lightning, theft, burglary, flood, cyclone, storm, earthquake, landslide, riot, strike, terrorism, malicious act, transit</t>
        </is>
      </c>
      <c r="I184" s="14" t="n">
        <v>7538</v>
      </c>
      <c r="J184" s="14">
        <f>IF(F184="","",IFERROR(INT(F184-TODAY()),""))</f>
        <v/>
      </c>
      <c r="K184" s="14">
        <f>IF(J184="","",IF(J184&lt;0,"Expired",IF(J184&lt;=30,"Expiring Soon","Active")))</f>
        <v/>
      </c>
      <c r="L184" s="14" t="n">
        <v>1</v>
      </c>
      <c r="M184" s="14" t="inlineStr">
        <is>
          <t>Annual</t>
        </is>
      </c>
    </row>
    <row r="185">
      <c r="A185" t="inlineStr">
        <is>
          <t>M2TSH2E12S2F02067.pdf</t>
        </is>
      </c>
      <c r="B185" t="inlineStr">
        <is>
          <t>M2TSH2E12S2F02067</t>
        </is>
      </c>
      <c r="C185" t="inlineStr">
        <is>
          <t>Royal Sundaram General Insurance Co. Limited</t>
        </is>
      </c>
      <c r="D185" t="inlineStr">
        <is>
          <t>VGC1409012000100</t>
        </is>
      </c>
      <c r="E185" t="inlineStr">
        <is>
          <t>2025-09-09</t>
        </is>
      </c>
      <c r="F185" t="inlineStr">
        <is>
          <t>2026-09-08</t>
        </is>
      </c>
      <c r="G185" t="inlineStr">
        <is>
          <t>Yes</t>
        </is>
      </c>
      <c r="H185" t="inlineStr">
        <is>
          <t>accident, fire, explosion, self-ignition, lightning, theft, burglary, flood, cyclone, storm, earthquake, landslide, riot, strike, terrorism, malicious act, transit</t>
        </is>
      </c>
      <c r="I185" t="n">
        <v>7538</v>
      </c>
      <c r="J185">
        <f>IF(F185="","",IFERROR(INT(F185-TODAY()),""))</f>
        <v/>
      </c>
      <c r="K185">
        <f>IF(J185="","",IF(J185&lt;0,"Expired",IF(J185&lt;=30,"Expiring Soon","Active")))</f>
        <v/>
      </c>
      <c r="L185" t="n">
        <v>1</v>
      </c>
      <c r="M185" t="inlineStr">
        <is>
          <t>Annual</t>
        </is>
      </c>
    </row>
    <row r="186">
      <c r="A186" s="14" t="inlineStr">
        <is>
          <t>M2TSH2E12S2F02072.pdf</t>
        </is>
      </c>
      <c r="B186" s="14" t="inlineStr">
        <is>
          <t>M2TSH2E12S2F02072</t>
        </is>
      </c>
      <c r="C186" s="14" t="inlineStr">
        <is>
          <t>Royal Sundaram General Insurance Co. Limited</t>
        </is>
      </c>
      <c r="D186" s="14" t="inlineStr">
        <is>
          <t>VGC1409007000100</t>
        </is>
      </c>
      <c r="E186" s="14" t="inlineStr">
        <is>
          <t>2025-09-09</t>
        </is>
      </c>
      <c r="F186" s="14" t="inlineStr">
        <is>
          <t>2026-09-08</t>
        </is>
      </c>
      <c r="G186" s="14" t="inlineStr">
        <is>
          <t>Yes</t>
        </is>
      </c>
      <c r="H186" s="14" t="inlineStr">
        <is>
          <t>accident, fire, explosion, self-ignition, lightning, theft, burglary, flood, cyclone, storm, earthquake, landslide, riot, strike, terrorism, malicious act, transit</t>
        </is>
      </c>
      <c r="I186" s="14" t="n">
        <v>7538</v>
      </c>
      <c r="J186" s="14">
        <f>IF(F186="","",IFERROR(INT(F186-TODAY()),""))</f>
        <v/>
      </c>
      <c r="K186" s="14">
        <f>IF(J186="","",IF(J186&lt;0,"Expired",IF(J186&lt;=30,"Expiring Soon","Active")))</f>
        <v/>
      </c>
      <c r="L186" s="14" t="n">
        <v>1</v>
      </c>
      <c r="M186" s="14" t="inlineStr">
        <is>
          <t>Annual</t>
        </is>
      </c>
    </row>
    <row r="187">
      <c r="A187" t="inlineStr">
        <is>
          <t>M2TSH2E12S2F02079.pdf</t>
        </is>
      </c>
      <c r="B187" t="inlineStr">
        <is>
          <t>M2TSH2E12S2F02079</t>
        </is>
      </c>
      <c r="C187" t="inlineStr">
        <is>
          <t>Royal Sundaram General Insurance Co. Limited</t>
        </is>
      </c>
      <c r="D187" t="inlineStr">
        <is>
          <t>VGC1408970000100</t>
        </is>
      </c>
      <c r="E187" t="inlineStr">
        <is>
          <t>2025-09-09</t>
        </is>
      </c>
      <c r="F187" t="inlineStr">
        <is>
          <t>2026-09-08</t>
        </is>
      </c>
      <c r="G187" t="inlineStr">
        <is>
          <t>Yes</t>
        </is>
      </c>
      <c r="H187" t="inlineStr">
        <is>
          <t>accident, fire, explosion, self-ignition, lightning, theft, burglary, flood, cyclone, storm, earthquake, landslide, riot, strike, terrorism, malicious act, transit</t>
        </is>
      </c>
      <c r="I187" t="n">
        <v>7538</v>
      </c>
      <c r="J187">
        <f>IF(F187="","",IFERROR(INT(F187-TODAY()),""))</f>
        <v/>
      </c>
      <c r="K187">
        <f>IF(J187="","",IF(J187&lt;0,"Expired",IF(J187&lt;=30,"Expiring Soon","Active")))</f>
        <v/>
      </c>
      <c r="L187" t="n">
        <v>1</v>
      </c>
      <c r="M187" t="inlineStr">
        <is>
          <t>Annual</t>
        </is>
      </c>
    </row>
    <row r="188">
      <c r="A188" s="14" t="inlineStr">
        <is>
          <t>M2TSH2E12S2F02082.pdf</t>
        </is>
      </c>
      <c r="B188" s="14" t="inlineStr">
        <is>
          <t>M2TSH2E12S2F02082</t>
        </is>
      </c>
      <c r="C188" s="14" t="inlineStr">
        <is>
          <t>Royal Sundaram General Insurance Co. Limited</t>
        </is>
      </c>
      <c r="D188" s="14" t="inlineStr">
        <is>
          <t>VGC1408948000100</t>
        </is>
      </c>
      <c r="E188" s="14" t="inlineStr">
        <is>
          <t>2025-09-09</t>
        </is>
      </c>
      <c r="F188" s="14" t="inlineStr">
        <is>
          <t>2026-09-08</t>
        </is>
      </c>
      <c r="G188" s="14" t="inlineStr">
        <is>
          <t>Yes</t>
        </is>
      </c>
      <c r="H188" s="14" t="inlineStr">
        <is>
          <t>accident, fire, explosion, self-ignition, lightning, theft, burglary, flood, cyclone, storm, earthquake, landslide, riot, strike, terrorism, malicious act, transit</t>
        </is>
      </c>
      <c r="I188" s="14" t="n">
        <v>7538</v>
      </c>
      <c r="J188" s="14">
        <f>IF(F188="","",IFERROR(INT(F188-TODAY()),""))</f>
        <v/>
      </c>
      <c r="K188" s="14">
        <f>IF(J188="","",IF(J188&lt;0,"Expired",IF(J188&lt;=30,"Expiring Soon","Active")))</f>
        <v/>
      </c>
      <c r="L188" s="14" t="n">
        <v>1</v>
      </c>
      <c r="M188" s="14" t="inlineStr">
        <is>
          <t>Annual</t>
        </is>
      </c>
    </row>
    <row r="189">
      <c r="A189" t="inlineStr">
        <is>
          <t>M2TSH2E12S2F02084.pdf</t>
        </is>
      </c>
      <c r="B189" t="inlineStr">
        <is>
          <t>M2TSH2E12S2F02084</t>
        </is>
      </c>
      <c r="C189" t="inlineStr">
        <is>
          <t>Royal Sundaram General Insurance Co. Limited</t>
        </is>
      </c>
      <c r="D189" t="inlineStr">
        <is>
          <t>VGC1408946000100</t>
        </is>
      </c>
      <c r="E189" t="inlineStr">
        <is>
          <t>2025-09-09</t>
        </is>
      </c>
      <c r="F189" t="inlineStr">
        <is>
          <t>2026-09-08</t>
        </is>
      </c>
      <c r="G189" t="inlineStr">
        <is>
          <t>Yes</t>
        </is>
      </c>
      <c r="H189" t="inlineStr">
        <is>
          <t>accident, fire, explosion, self-ignition, lightning, theft, burglary, flood, cyclone, storm, earthquake, landslide, riot, strike, terrorism, malicious act, transit</t>
        </is>
      </c>
      <c r="I189" t="n">
        <v>7538</v>
      </c>
      <c r="J189">
        <f>IF(F189="","",IFERROR(INT(F189-TODAY()),""))</f>
        <v/>
      </c>
      <c r="K189">
        <f>IF(J189="","",IF(J189&lt;0,"Expired",IF(J189&lt;=30,"Expiring Soon","Active")))</f>
        <v/>
      </c>
      <c r="L189" t="n">
        <v>1</v>
      </c>
      <c r="M189" t="inlineStr">
        <is>
          <t>Annual</t>
        </is>
      </c>
    </row>
    <row r="190">
      <c r="A190" s="14" t="inlineStr">
        <is>
          <t>MCPS21500CGJ10589.pdf</t>
        </is>
      </c>
      <c r="B190" s="14" t="inlineStr">
        <is>
          <t>MCPS21500CGJ10589</t>
        </is>
      </c>
      <c r="C190" s="14" t="inlineStr">
        <is>
          <t>ICICI Lombard General Insurance Company Limited</t>
        </is>
      </c>
      <c r="D190" s="14" t="inlineStr">
        <is>
          <t>3005/403966753/00/000</t>
        </is>
      </c>
      <c r="E190" s="14" t="inlineStr">
        <is>
          <t>2025-08-13</t>
        </is>
      </c>
      <c r="F190" s="14" t="inlineStr">
        <is>
          <t>2026-08-12</t>
        </is>
      </c>
      <c r="G190" s="14" t="inlineStr">
        <is>
          <t>Yes</t>
        </is>
      </c>
      <c r="H190" s="14" t="inlineStr">
        <is>
          <t>accident, fire, explosion, self-ignition, lightning</t>
        </is>
      </c>
      <c r="I190" s="14" t="n">
        <v>4085</v>
      </c>
      <c r="J190" s="14">
        <f>IF(F190="","",IFERROR(INT(F190-TODAY()),""))</f>
        <v/>
      </c>
      <c r="K190" s="14">
        <f>IF(J190="","",IF(J190&lt;0,"Expired",IF(J190&lt;=30,"Expiring Soon","Active")))</f>
        <v/>
      </c>
      <c r="L190" s="14" t="n">
        <v>1</v>
      </c>
      <c r="M190" s="14" t="inlineStr">
        <is>
          <t>Annual</t>
        </is>
      </c>
    </row>
    <row r="191">
      <c r="A191" t="inlineStr">
        <is>
          <t>MCPS21500CHJ11039.pdf</t>
        </is>
      </c>
      <c r="B191" t="inlineStr">
        <is>
          <t>MCPS21500CHJ11039</t>
        </is>
      </c>
      <c r="C191" t="inlineStr">
        <is>
          <t>ICICI Lombard General Insurance Company Limited</t>
        </is>
      </c>
      <c r="D191" t="inlineStr">
        <is>
          <t>3005/407543432/00/000</t>
        </is>
      </c>
      <c r="E191" t="inlineStr">
        <is>
          <t>2025-09-09</t>
        </is>
      </c>
      <c r="F191" t="inlineStr">
        <is>
          <t>2026-09-08</t>
        </is>
      </c>
      <c r="G191" t="inlineStr">
        <is>
          <t>Yes</t>
        </is>
      </c>
      <c r="H191" t="inlineStr">
        <is>
          <t>accident, fire, explosion, self-ignition, lightning, theft, burglary</t>
        </is>
      </c>
      <c r="I191" t="n">
        <v>4289</v>
      </c>
      <c r="J191">
        <f>IF(F191="","",IFERROR(INT(F191-TODAY()),""))</f>
        <v/>
      </c>
      <c r="K191">
        <f>IF(J191="","",IF(J191&lt;0,"Expired",IF(J191&lt;=30,"Expiring Soon","Active")))</f>
        <v/>
      </c>
      <c r="L191" t="n">
        <v>1</v>
      </c>
      <c r="M191" t="inlineStr">
        <is>
          <t>Annual</t>
        </is>
      </c>
    </row>
    <row r="192">
      <c r="A192" s="14" t="inlineStr">
        <is>
          <t>MCPS21500CHJ11216.pdf</t>
        </is>
      </c>
      <c r="B192" s="14" t="inlineStr">
        <is>
          <t>MCPS21500CHJ11216</t>
        </is>
      </c>
      <c r="C192" s="14" t="inlineStr">
        <is>
          <t>ICICI Lombard General Insurance Company Limited</t>
        </is>
      </c>
      <c r="D192" s="14" t="inlineStr">
        <is>
          <t>3005/408130489/00/000</t>
        </is>
      </c>
      <c r="E192" s="14" t="inlineStr">
        <is>
          <t>2025-09-16</t>
        </is>
      </c>
      <c r="F192" s="14" t="inlineStr">
        <is>
          <t>2026-09-15</t>
        </is>
      </c>
      <c r="G192" s="14" t="inlineStr">
        <is>
          <t>Yes</t>
        </is>
      </c>
      <c r="H192" s="14" t="inlineStr">
        <is>
          <t>accident, fire, explosion, self-ignition, lightning, theft, burglary</t>
        </is>
      </c>
      <c r="I192" s="14" t="n">
        <v>4289</v>
      </c>
      <c r="J192" s="14">
        <f>IF(F192="","",IFERROR(INT(F192-TODAY()),""))</f>
        <v/>
      </c>
      <c r="K192" s="14">
        <f>IF(J192="","",IF(J192&lt;0,"Expired",IF(J192&lt;=30,"Expiring Soon","Active")))</f>
        <v/>
      </c>
      <c r="L192" s="14" t="n">
        <v>1</v>
      </c>
      <c r="M192" s="14" t="inlineStr">
        <is>
          <t>Annual</t>
        </is>
      </c>
    </row>
    <row r="193">
      <c r="A193" t="inlineStr">
        <is>
          <t>MCPS21500CHJ11225.pdf</t>
        </is>
      </c>
      <c r="B193" t="inlineStr">
        <is>
          <t>MCPS21500CHJ11225</t>
        </is>
      </c>
      <c r="C193" t="inlineStr">
        <is>
          <t>ICICI Lombard General Insurance Company Limited</t>
        </is>
      </c>
      <c r="D193" t="inlineStr">
        <is>
          <t>3005/408128971/00/000</t>
        </is>
      </c>
      <c r="E193" t="inlineStr">
        <is>
          <t>2025-09-16</t>
        </is>
      </c>
      <c r="F193" t="inlineStr">
        <is>
          <t>2026-09-15</t>
        </is>
      </c>
      <c r="G193" t="inlineStr">
        <is>
          <t>Yes</t>
        </is>
      </c>
      <c r="H193" t="inlineStr">
        <is>
          <t>accident, fire, explosion, self-ignition, lightning, theft, burglary</t>
        </is>
      </c>
      <c r="I193" t="n">
        <v>4289</v>
      </c>
      <c r="J193">
        <f>IF(F193="","",IFERROR(INT(F193-TODAY()),""))</f>
        <v/>
      </c>
      <c r="K193">
        <f>IF(J193="","",IF(J193&lt;0,"Expired",IF(J193&lt;=30,"Expiring Soon","Active")))</f>
        <v/>
      </c>
      <c r="L193" t="n">
        <v>1</v>
      </c>
      <c r="M193" t="inlineStr">
        <is>
          <t>Annual</t>
        </is>
      </c>
    </row>
    <row r="194">
      <c r="A194" s="14" t="inlineStr">
        <is>
          <t>MCPS21500CHJ11259.pdf</t>
        </is>
      </c>
      <c r="B194" s="14" t="inlineStr">
        <is>
          <t>MCPS21500CHJ11259</t>
        </is>
      </c>
      <c r="C194" s="14" t="inlineStr">
        <is>
          <t>ICICI Lombard General Insurance Company Limited</t>
        </is>
      </c>
      <c r="D194" s="14" t="inlineStr">
        <is>
          <t>3005/408124805/00/000</t>
        </is>
      </c>
      <c r="E194" s="14" t="inlineStr">
        <is>
          <t>2025-09-16</t>
        </is>
      </c>
      <c r="F194" s="14" t="inlineStr">
        <is>
          <t>2026-09-15</t>
        </is>
      </c>
      <c r="G194" s="14" t="inlineStr">
        <is>
          <t>Yes</t>
        </is>
      </c>
      <c r="H194" s="14" t="inlineStr">
        <is>
          <t>accident, fire, explosion, self-ignition, lightning, theft, burglary</t>
        </is>
      </c>
      <c r="I194" s="14" t="n">
        <v>4289</v>
      </c>
      <c r="J194" s="14">
        <f>IF(F194="","",IFERROR(INT(F194-TODAY()),""))</f>
        <v/>
      </c>
      <c r="K194" s="14">
        <f>IF(J194="","",IF(J194&lt;0,"Expired",IF(J194&lt;=30,"Expiring Soon","Active")))</f>
        <v/>
      </c>
      <c r="L194" s="14" t="n">
        <v>1</v>
      </c>
      <c r="M194" s="14" t="inlineStr">
        <is>
          <t>Annual</t>
        </is>
      </c>
    </row>
    <row r="195">
      <c r="A195" t="inlineStr">
        <is>
          <t>MCPS21500CHJ11268.pdf</t>
        </is>
      </c>
      <c r="B195" t="inlineStr">
        <is>
          <t>MCPS21500CHJ11268</t>
        </is>
      </c>
      <c r="C195" t="inlineStr">
        <is>
          <t>ICICI Lombard General Insurance Company Limited</t>
        </is>
      </c>
      <c r="D195" t="inlineStr">
        <is>
          <t>3005/408125302/00/000</t>
        </is>
      </c>
      <c r="E195" t="inlineStr">
        <is>
          <t>2025-09-16</t>
        </is>
      </c>
      <c r="F195" t="inlineStr">
        <is>
          <t>2026-09-15</t>
        </is>
      </c>
      <c r="G195" t="inlineStr">
        <is>
          <t>Yes</t>
        </is>
      </c>
      <c r="H195" t="inlineStr">
        <is>
          <t>accident, fire, explosion, self-ignition, lightning, theft, burglary</t>
        </is>
      </c>
      <c r="I195" t="n">
        <v>4289</v>
      </c>
      <c r="J195">
        <f>IF(F195="","",IFERROR(INT(F195-TODAY()),""))</f>
        <v/>
      </c>
      <c r="K195">
        <f>IF(J195="","",IF(J195&lt;0,"Expired",IF(J195&lt;=30,"Expiring Soon","Active")))</f>
        <v/>
      </c>
      <c r="L195" t="n">
        <v>1</v>
      </c>
      <c r="M195" t="inlineStr">
        <is>
          <t>Annual</t>
        </is>
      </c>
    </row>
    <row r="196">
      <c r="A196" s="14" t="inlineStr">
        <is>
          <t>MCPS21500CHJ11276.pdf</t>
        </is>
      </c>
      <c r="B196" s="14" t="inlineStr">
        <is>
          <t>MCPS21500CHJ11276</t>
        </is>
      </c>
      <c r="C196" s="14" t="inlineStr">
        <is>
          <t>ICICI Lombard General Insurance Company Limited</t>
        </is>
      </c>
      <c r="D196" s="14" t="inlineStr">
        <is>
          <t>3005/408127842/00/000</t>
        </is>
      </c>
      <c r="E196" s="14" t="inlineStr">
        <is>
          <t>2025-09-16</t>
        </is>
      </c>
      <c r="F196" s="14" t="inlineStr">
        <is>
          <t>2026-09-15</t>
        </is>
      </c>
      <c r="G196" s="14" t="inlineStr">
        <is>
          <t>Yes</t>
        </is>
      </c>
      <c r="H196" s="14" t="inlineStr">
        <is>
          <t>accident, fire, explosion, self-ignition, lightning, theft, burglary</t>
        </is>
      </c>
      <c r="I196" s="14" t="n">
        <v>4289</v>
      </c>
      <c r="J196" s="14">
        <f>IF(F196="","",IFERROR(INT(F196-TODAY()),""))</f>
        <v/>
      </c>
      <c r="K196" s="14">
        <f>IF(J196="","",IF(J196&lt;0,"Expired",IF(J196&lt;=30,"Expiring Soon","Active")))</f>
        <v/>
      </c>
      <c r="L196" s="14" t="n">
        <v>1</v>
      </c>
      <c r="M196" s="14" t="inlineStr">
        <is>
          <t>Annual</t>
        </is>
      </c>
    </row>
    <row r="197">
      <c r="A197" t="inlineStr">
        <is>
          <t>MCPS21500CHJ11283.pdf</t>
        </is>
      </c>
      <c r="B197" t="inlineStr">
        <is>
          <t>MCPS21500CHJ11283</t>
        </is>
      </c>
      <c r="C197" t="inlineStr">
        <is>
          <t>ICICI Lombard General Insurance Company Limited</t>
        </is>
      </c>
      <c r="D197" t="inlineStr">
        <is>
          <t>3005/408129539/00/000</t>
        </is>
      </c>
      <c r="E197" t="inlineStr">
        <is>
          <t>2025-09-16</t>
        </is>
      </c>
      <c r="F197" t="inlineStr">
        <is>
          <t>2026-09-15</t>
        </is>
      </c>
      <c r="G197" t="inlineStr">
        <is>
          <t>Yes</t>
        </is>
      </c>
      <c r="H197" t="inlineStr">
        <is>
          <t>accident, fire, explosion, self-ignition, lightning, theft, burglary</t>
        </is>
      </c>
      <c r="I197" t="n">
        <v>4289</v>
      </c>
      <c r="J197">
        <f>IF(F197="","",IFERROR(INT(F197-TODAY()),""))</f>
        <v/>
      </c>
      <c r="K197">
        <f>IF(J197="","",IF(J197&lt;0,"Expired",IF(J197&lt;=30,"Expiring Soon","Active")))</f>
        <v/>
      </c>
      <c r="L197" t="n">
        <v>1</v>
      </c>
      <c r="M197" t="inlineStr">
        <is>
          <t>Annual</t>
        </is>
      </c>
    </row>
    <row r="198">
      <c r="A198" s="14" t="inlineStr">
        <is>
          <t>MCPS21500CHJ11288.pdf</t>
        </is>
      </c>
      <c r="B198" s="14" t="inlineStr">
        <is>
          <t>MCPS21500CHJ11288</t>
        </is>
      </c>
      <c r="C198" s="14" t="inlineStr">
        <is>
          <t>ICICI Lombard General Insurance Company Limited</t>
        </is>
      </c>
      <c r="D198" s="14" t="inlineStr">
        <is>
          <t>3005/408130490/00/000</t>
        </is>
      </c>
      <c r="E198" s="14" t="inlineStr">
        <is>
          <t>2025-09-16</t>
        </is>
      </c>
      <c r="F198" s="14" t="inlineStr">
        <is>
          <t>2026-09-15</t>
        </is>
      </c>
      <c r="G198" s="14" t="inlineStr">
        <is>
          <t>Yes</t>
        </is>
      </c>
      <c r="H198" s="14" t="inlineStr">
        <is>
          <t>accident, fire, explosion, self-ignition, lightning, theft, burglary</t>
        </is>
      </c>
      <c r="I198" s="14" t="n">
        <v>4289</v>
      </c>
      <c r="J198" s="14">
        <f>IF(F198="","",IFERROR(INT(F198-TODAY()),""))</f>
        <v/>
      </c>
      <c r="K198" s="14">
        <f>IF(J198="","",IF(J198&lt;0,"Expired",IF(J198&lt;=30,"Expiring Soon","Active")))</f>
        <v/>
      </c>
      <c r="L198" s="14" t="n">
        <v>1</v>
      </c>
      <c r="M198" s="14" t="inlineStr">
        <is>
          <t>Annual</t>
        </is>
      </c>
    </row>
    <row r="199">
      <c r="A199" t="inlineStr">
        <is>
          <t>MCPS21500CHJ11294.pdf</t>
        </is>
      </c>
      <c r="B199" t="inlineStr">
        <is>
          <t>MCPS21500CHJ11294</t>
        </is>
      </c>
      <c r="C199" t="inlineStr">
        <is>
          <t>ICICI Lombard General Insurance Company Limited</t>
        </is>
      </c>
      <c r="D199" t="inlineStr">
        <is>
          <t>3005/408129184/00/000</t>
        </is>
      </c>
      <c r="E199" t="inlineStr">
        <is>
          <t>2025-09-16</t>
        </is>
      </c>
      <c r="F199" t="inlineStr">
        <is>
          <t>2026-09-15</t>
        </is>
      </c>
      <c r="G199" t="inlineStr">
        <is>
          <t>Yes</t>
        </is>
      </c>
      <c r="H199" t="inlineStr">
        <is>
          <t>accident, fire, explosion, self-ignition, lightning, theft, burglary</t>
        </is>
      </c>
      <c r="I199" t="n">
        <v>4289</v>
      </c>
      <c r="J199">
        <f>IF(F199="","",IFERROR(INT(F199-TODAY()),""))</f>
        <v/>
      </c>
      <c r="K199">
        <f>IF(J199="","",IF(J199&lt;0,"Expired",IF(J199&lt;=30,"Expiring Soon","Active")))</f>
        <v/>
      </c>
      <c r="L199" t="n">
        <v>1</v>
      </c>
      <c r="M199" t="inlineStr">
        <is>
          <t>Annual</t>
        </is>
      </c>
    </row>
    <row r="200">
      <c r="A200" s="14" t="inlineStr">
        <is>
          <t>MCPS21500CHJ11297.pdf</t>
        </is>
      </c>
      <c r="B200" s="14" t="inlineStr">
        <is>
          <t>MCPS21500CHJ11297</t>
        </is>
      </c>
      <c r="C200" s="14" t="inlineStr">
        <is>
          <t>ICICI Lombard General Insurance Company Limited</t>
        </is>
      </c>
      <c r="D200" s="14" t="inlineStr">
        <is>
          <t>3005/408122467/00/000</t>
        </is>
      </c>
      <c r="E200" s="14" t="inlineStr">
        <is>
          <t>2025-09-16</t>
        </is>
      </c>
      <c r="F200" s="14" t="inlineStr">
        <is>
          <t>2026-09-15</t>
        </is>
      </c>
      <c r="G200" s="14" t="inlineStr">
        <is>
          <t>Yes</t>
        </is>
      </c>
      <c r="H200" s="14" t="inlineStr">
        <is>
          <t>accident, fire, explosion, self-ignition, lightning, theft, burglary</t>
        </is>
      </c>
      <c r="I200" s="14" t="n">
        <v>4289</v>
      </c>
      <c r="J200" s="14">
        <f>IF(F200="","",IFERROR(INT(F200-TODAY()),""))</f>
        <v/>
      </c>
      <c r="K200" s="14">
        <f>IF(J200="","",IF(J200&lt;0,"Expired",IF(J200&lt;=30,"Expiring Soon","Active")))</f>
        <v/>
      </c>
      <c r="L200" s="14" t="n">
        <v>1</v>
      </c>
      <c r="M200" s="14" t="inlineStr">
        <is>
          <t>Annual</t>
        </is>
      </c>
    </row>
    <row r="201">
      <c r="A201" t="inlineStr">
        <is>
          <t>MCPS21500CHJ11301.pdf</t>
        </is>
      </c>
      <c r="B201" t="inlineStr">
        <is>
          <t>MCPS21500CHJ11301</t>
        </is>
      </c>
      <c r="C201" t="inlineStr">
        <is>
          <t>ICICI Lombard General Insurance Company Limited</t>
        </is>
      </c>
      <c r="D201" t="inlineStr">
        <is>
          <t>3005/408122909/00/000</t>
        </is>
      </c>
      <c r="E201" t="inlineStr">
        <is>
          <t>2025-09-16</t>
        </is>
      </c>
      <c r="F201" t="inlineStr">
        <is>
          <t>2026-09-15</t>
        </is>
      </c>
      <c r="G201" t="inlineStr">
        <is>
          <t>Yes</t>
        </is>
      </c>
      <c r="H201" t="inlineStr">
        <is>
          <t>accident, fire, explosion, self-ignition, lightning, theft, burglary</t>
        </is>
      </c>
      <c r="I201" t="n">
        <v>4289</v>
      </c>
      <c r="J201">
        <f>IF(F201="","",IFERROR(INT(F201-TODAY()),""))</f>
        <v/>
      </c>
      <c r="K201">
        <f>IF(J201="","",IF(J201&lt;0,"Expired",IF(J201&lt;=30,"Expiring Soon","Active")))</f>
        <v/>
      </c>
      <c r="L201" t="n">
        <v>1</v>
      </c>
      <c r="M201" t="inlineStr">
        <is>
          <t>Annual</t>
        </is>
      </c>
    </row>
    <row r="202">
      <c r="A202" s="14" t="inlineStr">
        <is>
          <t>MCPS21500CHJ11305.pdf</t>
        </is>
      </c>
      <c r="B202" s="14" t="inlineStr">
        <is>
          <t>MCPS21500CHJ11305</t>
        </is>
      </c>
      <c r="C202" s="14" t="inlineStr">
        <is>
          <t>ICICI Lombard General Insurance Company Limited</t>
        </is>
      </c>
      <c r="D202" s="14" t="inlineStr">
        <is>
          <t>3005/408125526/00/000</t>
        </is>
      </c>
      <c r="E202" s="14" t="inlineStr">
        <is>
          <t>2025-09-16</t>
        </is>
      </c>
      <c r="F202" s="14" t="inlineStr">
        <is>
          <t>2026-09-15</t>
        </is>
      </c>
      <c r="G202" s="14" t="inlineStr">
        <is>
          <t>Yes</t>
        </is>
      </c>
      <c r="H202" s="14" t="inlineStr">
        <is>
          <t>accident, fire, explosion, self-ignition, lightning, theft, burglary</t>
        </is>
      </c>
      <c r="I202" s="14" t="n">
        <v>4289</v>
      </c>
      <c r="J202" s="14">
        <f>IF(F202="","",IFERROR(INT(F202-TODAY()),""))</f>
        <v/>
      </c>
      <c r="K202" s="14">
        <f>IF(J202="","",IF(J202&lt;0,"Expired",IF(J202&lt;=30,"Expiring Soon","Active")))</f>
        <v/>
      </c>
      <c r="L202" s="14" t="n">
        <v>1</v>
      </c>
      <c r="M202" s="14" t="inlineStr">
        <is>
          <t>Annual</t>
        </is>
      </c>
    </row>
    <row r="203">
      <c r="A203" t="inlineStr">
        <is>
          <t>MCPS21500CHJ11308.pdf</t>
        </is>
      </c>
      <c r="B203" t="inlineStr">
        <is>
          <t>MCPS21500CHJ11308</t>
        </is>
      </c>
      <c r="C203" t="inlineStr">
        <is>
          <t>ICICI Lombard General Insurance Company Limited</t>
        </is>
      </c>
      <c r="D203" t="inlineStr">
        <is>
          <t>3005/408125246/00/000</t>
        </is>
      </c>
      <c r="E203" t="inlineStr">
        <is>
          <t>2025-09-16</t>
        </is>
      </c>
      <c r="F203" t="inlineStr">
        <is>
          <t>2026-09-15</t>
        </is>
      </c>
      <c r="G203" t="inlineStr">
        <is>
          <t>Yes</t>
        </is>
      </c>
      <c r="H203" t="inlineStr">
        <is>
          <t>accident, fire, explosion, self-ignition, lightning, theft, burglary</t>
        </is>
      </c>
      <c r="I203" t="n">
        <v>4289</v>
      </c>
      <c r="J203">
        <f>IF(F203="","",IFERROR(INT(F203-TODAY()),""))</f>
        <v/>
      </c>
      <c r="K203">
        <f>IF(J203="","",IF(J203&lt;0,"Expired",IF(J203&lt;=30,"Expiring Soon","Active")))</f>
        <v/>
      </c>
      <c r="L203" t="n">
        <v>1</v>
      </c>
      <c r="M203" t="inlineStr">
        <is>
          <t>Annual</t>
        </is>
      </c>
    </row>
    <row r="204">
      <c r="A204" s="14" t="inlineStr">
        <is>
          <t>MCPS21500CHJ11312.pdf</t>
        </is>
      </c>
      <c r="B204" s="14" t="inlineStr">
        <is>
          <t>MCPS21500CHJ11312</t>
        </is>
      </c>
      <c r="C204" s="14" t="inlineStr">
        <is>
          <t>ICICI Lombard General Insurance Company Limited</t>
        </is>
      </c>
      <c r="D204" s="14" t="inlineStr">
        <is>
          <t>3005/408125639/00/000</t>
        </is>
      </c>
      <c r="E204" s="14" t="inlineStr">
        <is>
          <t>2025-09-16</t>
        </is>
      </c>
      <c r="F204" s="14" t="inlineStr">
        <is>
          <t>2026-09-15</t>
        </is>
      </c>
      <c r="G204" s="14" t="inlineStr">
        <is>
          <t>Yes</t>
        </is>
      </c>
      <c r="H204" s="14" t="inlineStr">
        <is>
          <t>accident, fire, explosion, self-ignition, lightning, theft, burglary, flood, cyclone, storm, earthquake, landslide, riot, strike, terrorism, malicious act, transit</t>
        </is>
      </c>
      <c r="I204" s="14" t="n">
        <v>4289</v>
      </c>
      <c r="J204" s="14">
        <f>IF(F204="","",IFERROR(INT(F204-TODAY()),""))</f>
        <v/>
      </c>
      <c r="K204" s="14">
        <f>IF(J204="","",IF(J204&lt;0,"Expired",IF(J204&lt;=30,"Expiring Soon","Active")))</f>
        <v/>
      </c>
      <c r="L204" s="14" t="n">
        <v>1</v>
      </c>
      <c r="M204" s="14" t="inlineStr">
        <is>
          <t>Annual</t>
        </is>
      </c>
    </row>
    <row r="205">
      <c r="A205" t="inlineStr">
        <is>
          <t>MCPS21500CHJ11316.pdf</t>
        </is>
      </c>
      <c r="B205" t="inlineStr">
        <is>
          <t>MCPS21500CHJ11316</t>
        </is>
      </c>
      <c r="C205" t="inlineStr">
        <is>
          <t>ICICI Lombard General Insurance Company Limited</t>
        </is>
      </c>
      <c r="D205" t="inlineStr">
        <is>
          <t>3005/408126391/00/000</t>
        </is>
      </c>
      <c r="E205" t="inlineStr">
        <is>
          <t>2025-09-16</t>
        </is>
      </c>
      <c r="F205" t="inlineStr">
        <is>
          <t>2026-09-15</t>
        </is>
      </c>
      <c r="G205" t="inlineStr">
        <is>
          <t>Yes</t>
        </is>
      </c>
      <c r="H205" t="inlineStr">
        <is>
          <t>accident, fire, explosion, self-ignition, lightning, theft, burglary</t>
        </is>
      </c>
      <c r="I205" t="n">
        <v>4289</v>
      </c>
      <c r="J205">
        <f>IF(F205="","",IFERROR(INT(F205-TODAY()),""))</f>
        <v/>
      </c>
      <c r="K205">
        <f>IF(J205="","",IF(J205&lt;0,"Expired",IF(J205&lt;=30,"Expiring Soon","Active")))</f>
        <v/>
      </c>
      <c r="L205" t="n">
        <v>1</v>
      </c>
      <c r="M205" t="inlineStr">
        <is>
          <t>Annual</t>
        </is>
      </c>
    </row>
    <row r="206">
      <c r="A206" s="14" t="inlineStr">
        <is>
          <t>MCPS21500CHJ11319.pdf</t>
        </is>
      </c>
      <c r="B206" s="14" t="inlineStr">
        <is>
          <t>MCPS21500CHJ11319</t>
        </is>
      </c>
      <c r="C206" s="14" t="inlineStr">
        <is>
          <t>ICICI Lombard General Insurance Company Limited</t>
        </is>
      </c>
      <c r="D206" s="14" t="inlineStr">
        <is>
          <t>3005/408126529/00/000</t>
        </is>
      </c>
      <c r="E206" s="14" t="inlineStr">
        <is>
          <t>2025-09-16</t>
        </is>
      </c>
      <c r="F206" s="14" t="inlineStr">
        <is>
          <t>2026-09-15</t>
        </is>
      </c>
      <c r="G206" s="14" t="inlineStr">
        <is>
          <t>Yes</t>
        </is>
      </c>
      <c r="H206" s="14" t="inlineStr">
        <is>
          <t>accident, fire, explosion, self-ignition, lightning, theft, burglary</t>
        </is>
      </c>
      <c r="I206" s="14" t="n">
        <v>4289</v>
      </c>
      <c r="J206" s="14">
        <f>IF(F206="","",IFERROR(INT(F206-TODAY()),""))</f>
        <v/>
      </c>
      <c r="K206" s="14">
        <f>IF(J206="","",IF(J206&lt;0,"Expired",IF(J206&lt;=30,"Expiring Soon","Active")))</f>
        <v/>
      </c>
      <c r="L206" s="14" t="n">
        <v>1</v>
      </c>
      <c r="M206" s="14" t="inlineStr">
        <is>
          <t>Annual</t>
        </is>
      </c>
    </row>
    <row r="207">
      <c r="A207" t="inlineStr">
        <is>
          <t>MCPS21500CJJ11323.pdf</t>
        </is>
      </c>
      <c r="B207" t="inlineStr">
        <is>
          <t>MCPS21500CJJ11323</t>
        </is>
      </c>
      <c r="C207" t="inlineStr">
        <is>
          <t>ICICI Lombard General Insurance Company Limited</t>
        </is>
      </c>
      <c r="D207" t="inlineStr">
        <is>
          <t>3005/408129163/00/000</t>
        </is>
      </c>
      <c r="E207" t="inlineStr">
        <is>
          <t>2025-09-16</t>
        </is>
      </c>
      <c r="F207" t="inlineStr">
        <is>
          <t>2026-09-15</t>
        </is>
      </c>
      <c r="G207" t="inlineStr">
        <is>
          <t>Yes</t>
        </is>
      </c>
      <c r="H207" t="inlineStr">
        <is>
          <t>accident, fire, explosion, self-ignition, lightning, theft, burglary</t>
        </is>
      </c>
      <c r="I207" t="n">
        <v>4289</v>
      </c>
      <c r="J207">
        <f>IF(F207="","",IFERROR(INT(F207-TODAY()),""))</f>
        <v/>
      </c>
      <c r="K207">
        <f>IF(J207="","",IF(J207&lt;0,"Expired",IF(J207&lt;=30,"Expiring Soon","Active")))</f>
        <v/>
      </c>
      <c r="L207" t="n">
        <v>1</v>
      </c>
      <c r="M207" t="inlineStr">
        <is>
          <t>Annual</t>
        </is>
      </c>
    </row>
    <row r="208">
      <c r="A208" s="14" t="inlineStr">
        <is>
          <t>MCPS21500CJJ11326.pdf</t>
        </is>
      </c>
      <c r="B208" s="14" t="inlineStr">
        <is>
          <t>MCPS21500CJJ11326</t>
        </is>
      </c>
      <c r="C208" s="14" t="inlineStr">
        <is>
          <t>ICICI Lombard General Insurance Company Limited</t>
        </is>
      </c>
      <c r="D208" s="14" t="inlineStr">
        <is>
          <t>3005/410006572/00/000</t>
        </is>
      </c>
      <c r="E208" s="14" t="inlineStr">
        <is>
          <t>2025-09-30</t>
        </is>
      </c>
      <c r="F208" s="14" t="inlineStr">
        <is>
          <t>2026-09-29</t>
        </is>
      </c>
      <c r="G208" s="14" t="inlineStr">
        <is>
          <t>Yes</t>
        </is>
      </c>
      <c r="H208" s="14" t="inlineStr">
        <is>
          <t>accident, fire, explosion, self-ignition, lightning, theft, burglary</t>
        </is>
      </c>
      <c r="I208" s="14" t="n">
        <v>4289</v>
      </c>
      <c r="J208" s="14">
        <f>IF(F208="","",IFERROR(INT(F208-TODAY()),""))</f>
        <v/>
      </c>
      <c r="K208" s="14">
        <f>IF(J208="","",IF(J208&lt;0,"Expired",IF(J208&lt;=30,"Expiring Soon","Active")))</f>
        <v/>
      </c>
      <c r="L208" s="14" t="n">
        <v>1</v>
      </c>
      <c r="M208" s="14" t="inlineStr">
        <is>
          <t>Annual</t>
        </is>
      </c>
    </row>
    <row r="209">
      <c r="A209" t="inlineStr">
        <is>
          <t>MCPS21500CJJ11337.pdf</t>
        </is>
      </c>
      <c r="B209" t="inlineStr">
        <is>
          <t>MCPS21500CJJ11337</t>
        </is>
      </c>
      <c r="C209" t="inlineStr">
        <is>
          <t>ICICI Lombard General Insurance Company Limited</t>
        </is>
      </c>
      <c r="D209" t="inlineStr">
        <is>
          <t>3005/410024681/00/000</t>
        </is>
      </c>
      <c r="E209" t="inlineStr">
        <is>
          <t>2025-09-30</t>
        </is>
      </c>
      <c r="F209" t="inlineStr">
        <is>
          <t>2026-09-29</t>
        </is>
      </c>
      <c r="G209" t="inlineStr">
        <is>
          <t>Yes</t>
        </is>
      </c>
      <c r="H209" t="inlineStr">
        <is>
          <t>accident, fire, explosion, self-ignition, lightning, theft, burglary</t>
        </is>
      </c>
      <c r="I209" t="n">
        <v>4289</v>
      </c>
      <c r="J209">
        <f>IF(F209="","",IFERROR(INT(F209-TODAY()),""))</f>
        <v/>
      </c>
      <c r="K209">
        <f>IF(J209="","",IF(J209&lt;0,"Expired",IF(J209&lt;=30,"Expiring Soon","Active")))</f>
        <v/>
      </c>
      <c r="L209" t="n">
        <v>1</v>
      </c>
      <c r="M209" t="inlineStr">
        <is>
          <t>Annual</t>
        </is>
      </c>
    </row>
    <row r="210">
      <c r="A210" s="14" t="inlineStr">
        <is>
          <t>MCPS21500CJJ11346.pdf</t>
        </is>
      </c>
      <c r="B210" s="14" t="inlineStr">
        <is>
          <t>MCPS21500CJJ11346</t>
        </is>
      </c>
      <c r="C210" s="14" t="inlineStr">
        <is>
          <t>ICICI Lombard General Insurance Company Limited</t>
        </is>
      </c>
      <c r="D210" s="14" t="inlineStr">
        <is>
          <t>3005/408128542/00/000</t>
        </is>
      </c>
      <c r="E210" s="14" t="inlineStr">
        <is>
          <t>2025-09-16</t>
        </is>
      </c>
      <c r="F210" s="14" t="inlineStr">
        <is>
          <t>2026-09-15</t>
        </is>
      </c>
      <c r="G210" s="14" t="inlineStr">
        <is>
          <t>Yes</t>
        </is>
      </c>
      <c r="H210" s="14" t="inlineStr">
        <is>
          <t>accident, fire, explosion, self-ignition, lightning, theft, burglary</t>
        </is>
      </c>
      <c r="I210" s="14" t="n">
        <v>4289</v>
      </c>
      <c r="J210" s="14">
        <f>IF(F210="","",IFERROR(INT(F210-TODAY()),""))</f>
        <v/>
      </c>
      <c r="K210" s="14">
        <f>IF(J210="","",IF(J210&lt;0,"Expired",IF(J210&lt;=30,"Expiring Soon","Active")))</f>
        <v/>
      </c>
      <c r="L210" s="14" t="n">
        <v>1</v>
      </c>
      <c r="M210" s="14" t="inlineStr">
        <is>
          <t>Annual</t>
        </is>
      </c>
    </row>
    <row r="211">
      <c r="A211" t="inlineStr">
        <is>
          <t>MCPS21500CJJ11351.pdf</t>
        </is>
      </c>
      <c r="B211" t="inlineStr">
        <is>
          <t>MCPS21500CJJ11351</t>
        </is>
      </c>
      <c r="C211" t="inlineStr">
        <is>
          <t>ICICI Lombard General Insurance Company Limited</t>
        </is>
      </c>
      <c r="D211" t="inlineStr">
        <is>
          <t>3005/410051097/00/000</t>
        </is>
      </c>
      <c r="E211" t="inlineStr">
        <is>
          <t>2025-09-30</t>
        </is>
      </c>
      <c r="F211" t="inlineStr">
        <is>
          <t>2026-09-29</t>
        </is>
      </c>
      <c r="G211" t="inlineStr">
        <is>
          <t>Yes</t>
        </is>
      </c>
      <c r="H211" t="inlineStr">
        <is>
          <t>accident, fire, explosion, self-ignition, lightning, theft, burglary</t>
        </is>
      </c>
      <c r="I211" t="n">
        <v>4289</v>
      </c>
      <c r="J211">
        <f>IF(F211="","",IFERROR(INT(F211-TODAY()),""))</f>
        <v/>
      </c>
      <c r="K211">
        <f>IF(J211="","",IF(J211&lt;0,"Expired",IF(J211&lt;=30,"Expiring Soon","Active")))</f>
        <v/>
      </c>
      <c r="L211" t="n">
        <v>1</v>
      </c>
      <c r="M211" t="inlineStr">
        <is>
          <t>Annual</t>
        </is>
      </c>
    </row>
    <row r="212">
      <c r="A212" s="14" t="inlineStr">
        <is>
          <t>MCPS21500CJJ11356.pdf</t>
        </is>
      </c>
      <c r="B212" s="14" t="inlineStr">
        <is>
          <t>MCPS21500CJJ11356</t>
        </is>
      </c>
      <c r="C212" s="14" t="inlineStr">
        <is>
          <t>ICICI Lombard General Insurance Company Limited</t>
        </is>
      </c>
      <c r="D212" s="14" t="inlineStr">
        <is>
          <t>3005/410059682/00/000</t>
        </is>
      </c>
      <c r="E212" s="14" t="inlineStr">
        <is>
          <t>2025-09-30</t>
        </is>
      </c>
      <c r="F212" s="14" t="inlineStr">
        <is>
          <t>2026-09-29</t>
        </is>
      </c>
      <c r="G212" s="14" t="inlineStr">
        <is>
          <t>Yes</t>
        </is>
      </c>
      <c r="H212" s="14" t="inlineStr">
        <is>
          <t>accident, fire, explosion, self-ignition, lightning, theft, burglary</t>
        </is>
      </c>
      <c r="I212" s="14" t="n">
        <v>4289</v>
      </c>
      <c r="J212" s="14">
        <f>IF(F212="","",IFERROR(INT(F212-TODAY()),""))</f>
        <v/>
      </c>
      <c r="K212" s="14">
        <f>IF(J212="","",IF(J212&lt;0,"Expired",IF(J212&lt;=30,"Expiring Soon","Active")))</f>
        <v/>
      </c>
      <c r="L212" s="14" t="n">
        <v>1</v>
      </c>
      <c r="M212" s="14" t="inlineStr">
        <is>
          <t>Annual</t>
        </is>
      </c>
    </row>
    <row r="213">
      <c r="A213" t="inlineStr">
        <is>
          <t>MCPS21500CJJ11360.pdf</t>
        </is>
      </c>
      <c r="B213" t="inlineStr">
        <is>
          <t>MCPS21500CJJ11360</t>
        </is>
      </c>
      <c r="C213" t="inlineStr">
        <is>
          <t>ICICI Lombard General Insurance Company Limited</t>
        </is>
      </c>
      <c r="D213" t="inlineStr">
        <is>
          <t>3005/408128955/00/000</t>
        </is>
      </c>
      <c r="E213" t="inlineStr">
        <is>
          <t>2025-09-16</t>
        </is>
      </c>
      <c r="F213" t="inlineStr">
        <is>
          <t>2026-09-15</t>
        </is>
      </c>
      <c r="G213" t="inlineStr">
        <is>
          <t>Yes</t>
        </is>
      </c>
      <c r="H213" t="inlineStr">
        <is>
          <t>accident, fire, explosion, self-ignition, lightning, theft, burglary</t>
        </is>
      </c>
      <c r="I213" t="n">
        <v>4289</v>
      </c>
      <c r="J213">
        <f>IF(F213="","",IFERROR(INT(F213-TODAY()),""))</f>
        <v/>
      </c>
      <c r="K213">
        <f>IF(J213="","",IF(J213&lt;0,"Expired",IF(J213&lt;=30,"Expiring Soon","Active")))</f>
        <v/>
      </c>
      <c r="L213" t="n">
        <v>1</v>
      </c>
      <c r="M213" t="inlineStr">
        <is>
          <t>Annual</t>
        </is>
      </c>
    </row>
    <row r="214">
      <c r="A214" s="14" t="inlineStr">
        <is>
          <t>MCPS21500CJJ11363.pdf</t>
        </is>
      </c>
      <c r="B214" s="14" t="inlineStr">
        <is>
          <t>MCPS21500CJJ11363</t>
        </is>
      </c>
      <c r="C214" s="14" t="inlineStr">
        <is>
          <t>ICICI Lombard General Insurance Company Limited</t>
        </is>
      </c>
      <c r="D214" s="14" t="inlineStr">
        <is>
          <t>3005/410063391/00/000</t>
        </is>
      </c>
      <c r="E214" s="14" t="inlineStr">
        <is>
          <t>2025-09-30</t>
        </is>
      </c>
      <c r="F214" s="14" t="inlineStr">
        <is>
          <t>2026-09-29</t>
        </is>
      </c>
      <c r="G214" s="14" t="inlineStr">
        <is>
          <t>Yes</t>
        </is>
      </c>
      <c r="H214" s="14" t="inlineStr">
        <is>
          <t>accident, fire, explosion, self-ignition, lightning, theft, burglary</t>
        </is>
      </c>
      <c r="I214" s="14" t="n">
        <v>4289</v>
      </c>
      <c r="J214" s="14">
        <f>IF(F214="","",IFERROR(INT(F214-TODAY()),""))</f>
        <v/>
      </c>
      <c r="K214" s="14">
        <f>IF(J214="","",IF(J214&lt;0,"Expired",IF(J214&lt;=30,"Expiring Soon","Active")))</f>
        <v/>
      </c>
      <c r="L214" s="14" t="n">
        <v>1</v>
      </c>
      <c r="M214" s="14" t="inlineStr">
        <is>
          <t>Annual</t>
        </is>
      </c>
    </row>
    <row r="215">
      <c r="A215" t="inlineStr">
        <is>
          <t>MCPS21500CJJ11364.pdf</t>
        </is>
      </c>
      <c r="B215" t="inlineStr">
        <is>
          <t>MCPS21500CJJ11364</t>
        </is>
      </c>
      <c r="C215" t="inlineStr">
        <is>
          <t>ICICI Lombard General Insurance Company Limited</t>
        </is>
      </c>
      <c r="D215" t="inlineStr">
        <is>
          <t>3005/408128748/00/000</t>
        </is>
      </c>
      <c r="E215" t="inlineStr">
        <is>
          <t>2025-09-16</t>
        </is>
      </c>
      <c r="F215" t="inlineStr">
        <is>
          <t>2026-09-15</t>
        </is>
      </c>
      <c r="G215" t="inlineStr">
        <is>
          <t>Yes</t>
        </is>
      </c>
      <c r="H215" t="inlineStr">
        <is>
          <t>accident, fire, explosion, self-ignition, lightning, theft, burglary</t>
        </is>
      </c>
      <c r="I215" t="n">
        <v>4289</v>
      </c>
      <c r="J215">
        <f>IF(F215="","",IFERROR(INT(F215-TODAY()),""))</f>
        <v/>
      </c>
      <c r="K215">
        <f>IF(J215="","",IF(J215&lt;0,"Expired",IF(J215&lt;=30,"Expiring Soon","Active")))</f>
        <v/>
      </c>
      <c r="L215" t="n">
        <v>1</v>
      </c>
      <c r="M215" t="inlineStr">
        <is>
          <t>Annual</t>
        </is>
      </c>
    </row>
    <row r="216">
      <c r="A216" s="14" t="inlineStr">
        <is>
          <t>MCPS21500CJJ11371.pdf</t>
        </is>
      </c>
      <c r="B216" s="14" t="inlineStr">
        <is>
          <t>MCPS21500CJJ11371</t>
        </is>
      </c>
      <c r="C216" s="14" t="inlineStr">
        <is>
          <t>ICICI Lombard General Insurance Company Limited</t>
        </is>
      </c>
      <c r="D216" s="14" t="inlineStr">
        <is>
          <t>3005/410068898/00/000</t>
        </is>
      </c>
      <c r="E216" s="14" t="inlineStr">
        <is>
          <t>2025-09-30</t>
        </is>
      </c>
      <c r="F216" s="14" t="inlineStr">
        <is>
          <t>2026-09-29</t>
        </is>
      </c>
      <c r="G216" s="14" t="inlineStr">
        <is>
          <t>Yes</t>
        </is>
      </c>
      <c r="H216" s="14" t="inlineStr">
        <is>
          <t>accident, fire, explosion, self-ignition, lightning, theft, burglary</t>
        </is>
      </c>
      <c r="I216" s="14" t="n">
        <v>4289</v>
      </c>
      <c r="J216" s="14">
        <f>IF(F216="","",IFERROR(INT(F216-TODAY()),""))</f>
        <v/>
      </c>
      <c r="K216" s="14">
        <f>IF(J216="","",IF(J216&lt;0,"Expired",IF(J216&lt;=30,"Expiring Soon","Active")))</f>
        <v/>
      </c>
      <c r="L216" s="14" t="n">
        <v>1</v>
      </c>
      <c r="M216" s="14" t="inlineStr">
        <is>
          <t>Annual</t>
        </is>
      </c>
    </row>
    <row r="217">
      <c r="A217" t="inlineStr">
        <is>
          <t>MCPS21500CJJ11377.pdf</t>
        </is>
      </c>
      <c r="B217" t="inlineStr">
        <is>
          <t>MCPS21500CJJ11377</t>
        </is>
      </c>
      <c r="C217" t="inlineStr">
        <is>
          <t>ICICI Lombard General Insurance Company Limited</t>
        </is>
      </c>
      <c r="D217" t="inlineStr">
        <is>
          <t>3005/410071396/00/000</t>
        </is>
      </c>
      <c r="E217" t="inlineStr">
        <is>
          <t>2025-09-30</t>
        </is>
      </c>
      <c r="F217" t="inlineStr">
        <is>
          <t>2026-09-29</t>
        </is>
      </c>
      <c r="G217" t="inlineStr">
        <is>
          <t>Yes</t>
        </is>
      </c>
      <c r="H217" t="inlineStr">
        <is>
          <t>accident, fire, explosion, self-ignition, lightning, theft, burglary</t>
        </is>
      </c>
      <c r="I217" t="n">
        <v>4289</v>
      </c>
      <c r="J217">
        <f>IF(F217="","",IFERROR(INT(F217-TODAY()),""))</f>
        <v/>
      </c>
      <c r="K217">
        <f>IF(J217="","",IF(J217&lt;0,"Expired",IF(J217&lt;=30,"Expiring Soon","Active")))</f>
        <v/>
      </c>
      <c r="L217" t="n">
        <v>1</v>
      </c>
      <c r="M217" t="inlineStr">
        <is>
          <t>Annual</t>
        </is>
      </c>
    </row>
    <row r="218">
      <c r="A218" s="14" t="inlineStr">
        <is>
          <t>MCPS21500CJJ11457.pdf</t>
        </is>
      </c>
      <c r="B218" s="14" t="inlineStr">
        <is>
          <t>MCPS21500CJJ11457</t>
        </is>
      </c>
      <c r="C218" s="14" t="inlineStr">
        <is>
          <t>ICICI Lombard General Insurance Company Limited</t>
        </is>
      </c>
      <c r="D218" s="14" t="inlineStr">
        <is>
          <t>3005/410077047/00/000</t>
        </is>
      </c>
      <c r="E218" s="14" t="inlineStr">
        <is>
          <t>2025-09-30</t>
        </is>
      </c>
      <c r="F218" s="14" t="inlineStr">
        <is>
          <t>2026-09-29</t>
        </is>
      </c>
      <c r="G218" s="14" t="inlineStr">
        <is>
          <t>Yes</t>
        </is>
      </c>
      <c r="H218" s="14" t="inlineStr">
        <is>
          <t>accident, fire, explosion, self-ignition, lightning, theft, burglary</t>
        </is>
      </c>
      <c r="I218" s="14" t="n">
        <v>4289</v>
      </c>
      <c r="J218" s="14">
        <f>IF(F218="","",IFERROR(INT(F218-TODAY()),""))</f>
        <v/>
      </c>
      <c r="K218" s="14">
        <f>IF(J218="","",IF(J218&lt;0,"Expired",IF(J218&lt;=30,"Expiring Soon","Active")))</f>
        <v/>
      </c>
      <c r="L218" s="14" t="n">
        <v>1</v>
      </c>
      <c r="M218" s="14" t="inlineStr">
        <is>
          <t>Annual</t>
        </is>
      </c>
    </row>
    <row r="219">
      <c r="A219" t="inlineStr">
        <is>
          <t>MCPS21500CJJ11466.pdf</t>
        </is>
      </c>
      <c r="B219" t="inlineStr">
        <is>
          <t>MCPS21500CJJ11466</t>
        </is>
      </c>
      <c r="C219" t="inlineStr">
        <is>
          <t>ICICI Lombard General Insurance Company Limited</t>
        </is>
      </c>
      <c r="D219" t="inlineStr">
        <is>
          <t>3005/410078554/00/000</t>
        </is>
      </c>
      <c r="E219" t="inlineStr">
        <is>
          <t>2025-09-30</t>
        </is>
      </c>
      <c r="F219" t="inlineStr">
        <is>
          <t>2026-09-29</t>
        </is>
      </c>
      <c r="G219" t="inlineStr">
        <is>
          <t>Yes</t>
        </is>
      </c>
      <c r="H219" t="inlineStr">
        <is>
          <t>accident, fire, explosion, self-ignition, lightning, theft, burglary</t>
        </is>
      </c>
      <c r="I219" t="n">
        <v>4289</v>
      </c>
      <c r="J219">
        <f>IF(F219="","",IFERROR(INT(F219-TODAY()),""))</f>
        <v/>
      </c>
      <c r="K219">
        <f>IF(J219="","",IF(J219&lt;0,"Expired",IF(J219&lt;=30,"Expiring Soon","Active")))</f>
        <v/>
      </c>
      <c r="L219" t="n">
        <v>1</v>
      </c>
      <c r="M219" t="inlineStr">
        <is>
          <t>Annual</t>
        </is>
      </c>
    </row>
    <row r="220">
      <c r="A220" s="14" t="inlineStr">
        <is>
          <t>MCPS21500CJJ11472.pdf</t>
        </is>
      </c>
      <c r="B220" s="14" t="inlineStr">
        <is>
          <t>MCPS21500CJJ11472</t>
        </is>
      </c>
      <c r="C220" s="14" t="inlineStr">
        <is>
          <t>ICICI Lombard General Insurance Company Limited</t>
        </is>
      </c>
      <c r="D220" s="14" t="inlineStr">
        <is>
          <t>3005/410080005/00/000</t>
        </is>
      </c>
      <c r="E220" s="14" t="inlineStr">
        <is>
          <t>2025-09-30</t>
        </is>
      </c>
      <c r="F220" s="14" t="inlineStr">
        <is>
          <t>2026-09-29</t>
        </is>
      </c>
      <c r="G220" s="14" t="inlineStr">
        <is>
          <t>Yes</t>
        </is>
      </c>
      <c r="H220" s="14" t="inlineStr">
        <is>
          <t>accident, fire, explosion, self-ignition, lightning, theft, burglary</t>
        </is>
      </c>
      <c r="I220" s="14" t="n">
        <v>4289</v>
      </c>
      <c r="J220" s="14">
        <f>IF(F220="","",IFERROR(INT(F220-TODAY()),""))</f>
        <v/>
      </c>
      <c r="K220" s="14">
        <f>IF(J220="","",IF(J220&lt;0,"Expired",IF(J220&lt;=30,"Expiring Soon","Active")))</f>
        <v/>
      </c>
      <c r="L220" s="14" t="n">
        <v>1</v>
      </c>
      <c r="M220" s="14" t="inlineStr">
        <is>
          <t>Annual</t>
        </is>
      </c>
    </row>
    <row r="221">
      <c r="A221" t="inlineStr">
        <is>
          <t>MCPS21500CJJ11475.pdf</t>
        </is>
      </c>
      <c r="B221" t="inlineStr">
        <is>
          <t>MCPS21500CJJ11475</t>
        </is>
      </c>
      <c r="C221" t="inlineStr">
        <is>
          <t>ICICI Lombard General Insurance Company Limited</t>
        </is>
      </c>
      <c r="D221" t="inlineStr">
        <is>
          <t>3005/410083337/00/000</t>
        </is>
      </c>
      <c r="E221" t="inlineStr">
        <is>
          <t>2025-09-30</t>
        </is>
      </c>
      <c r="F221" t="inlineStr">
        <is>
          <t>2026-09-29</t>
        </is>
      </c>
      <c r="G221" t="inlineStr">
        <is>
          <t>Yes</t>
        </is>
      </c>
      <c r="H221" t="inlineStr">
        <is>
          <t>accident, fire, explosion, self-ignition, lightning, theft, burglary</t>
        </is>
      </c>
      <c r="I221" t="n">
        <v>4289</v>
      </c>
      <c r="J221">
        <f>IF(F221="","",IFERROR(INT(F221-TODAY()),""))</f>
        <v/>
      </c>
      <c r="K221">
        <f>IF(J221="","",IF(J221&lt;0,"Expired",IF(J221&lt;=30,"Expiring Soon","Active")))</f>
        <v/>
      </c>
      <c r="L221" t="n">
        <v>1</v>
      </c>
      <c r="M221" t="inlineStr">
        <is>
          <t>Annual</t>
        </is>
      </c>
    </row>
    <row r="222">
      <c r="A222" s="14" t="inlineStr">
        <is>
          <t>MD6EVN1D6S4K00116.pdf</t>
        </is>
      </c>
      <c r="B222" s="14" t="inlineStr">
        <is>
          <t>MD6EVN1D6S4K00116</t>
        </is>
      </c>
      <c r="C222" s="14" t="inlineStr">
        <is>
          <t>Royal Sundaram General Insurance Co. Limited</t>
        </is>
      </c>
      <c r="D222" s="14" t="inlineStr">
        <is>
          <t>VGC1454172000100</t>
        </is>
      </c>
      <c r="E222" s="14" t="inlineStr">
        <is>
          <t>2025-12-08</t>
        </is>
      </c>
      <c r="F222" s="14" t="inlineStr">
        <is>
          <t>2026-12-07</t>
        </is>
      </c>
      <c r="G222" s="14" t="inlineStr">
        <is>
          <t>Yes</t>
        </is>
      </c>
      <c r="H222" s="14" t="inlineStr">
        <is>
          <t>accident, fire, explosion, self-ignition, lightning, theft, burglary, flood, cyclone, storm, earthquake, landslide, riot, strike, terrorism, malicious act, transit</t>
        </is>
      </c>
      <c r="I222" s="14" t="n">
        <v>7152</v>
      </c>
      <c r="J222" s="14">
        <f>IF(F222="","",IFERROR(INT(F222-TODAY()),""))</f>
        <v/>
      </c>
      <c r="K222" s="14">
        <f>IF(J222="","",IF(J222&lt;0,"Expired",IF(J222&lt;=30,"Expiring Soon","Active")))</f>
        <v/>
      </c>
      <c r="L222" s="14" t="n">
        <v>1</v>
      </c>
      <c r="M222" s="14" t="inlineStr">
        <is>
          <t>Annual</t>
        </is>
      </c>
    </row>
    <row r="223">
      <c r="A223" t="inlineStr">
        <is>
          <t>MD9EMHDL24D217414.pdf</t>
        </is>
      </c>
      <c r="B223" t="inlineStr">
        <is>
          <t>MD9EMHDL24D217414</t>
        </is>
      </c>
      <c r="C223" t="inlineStr">
        <is>
          <t>Royal Sundaram General Insurance Co. Limited</t>
        </is>
      </c>
      <c r="D223" t="inlineStr">
        <is>
          <t>VGC1159743000101</t>
        </is>
      </c>
      <c r="E223" t="inlineStr">
        <is>
          <t>2025-05-29</t>
        </is>
      </c>
      <c r="F223" t="inlineStr">
        <is>
          <t>2026-05-28</t>
        </is>
      </c>
      <c r="G223" t="inlineStr">
        <is>
          <t>Yes</t>
        </is>
      </c>
      <c r="H223" t="inlineStr">
        <is>
          <t>accident, fire, explosion, self-ignition, lightning, theft, burglary, flood, cyclone, storm, earthquake, landslide, riot, strike, terrorism, malicious act, transit</t>
        </is>
      </c>
      <c r="I223" t="n">
        <v>7332</v>
      </c>
      <c r="J223">
        <f>IF(F223="","",IFERROR(INT(F223-TODAY()),""))</f>
        <v/>
      </c>
      <c r="K223">
        <f>IF(J223="","",IF(J223&lt;0,"Expired",IF(J223&lt;=30,"Expiring Soon","Active")))</f>
        <v/>
      </c>
      <c r="L223" t="n">
        <v>1</v>
      </c>
      <c r="M223" t="inlineStr">
        <is>
          <t>Annual</t>
        </is>
      </c>
    </row>
    <row r="224">
      <c r="A224" s="14" t="inlineStr">
        <is>
          <t>MD9EMHDL24D217427.pdf</t>
        </is>
      </c>
      <c r="B224" s="14" t="inlineStr">
        <is>
          <t>MD9EMHDL24D217427</t>
        </is>
      </c>
      <c r="C224" s="14" t="inlineStr">
        <is>
          <t>Royal Sundaram General Insurance Co. Limited</t>
        </is>
      </c>
      <c r="D224" s="14" t="inlineStr">
        <is>
          <t>VGC1159768000101</t>
        </is>
      </c>
      <c r="E224" s="14" t="inlineStr">
        <is>
          <t>2025-05-28</t>
        </is>
      </c>
      <c r="F224" s="14" t="inlineStr">
        <is>
          <t>2026-05-27</t>
        </is>
      </c>
      <c r="G224" s="14" t="inlineStr">
        <is>
          <t>Yes</t>
        </is>
      </c>
      <c r="H224" s="14" t="inlineStr">
        <is>
          <t>accident, fire, explosion, self-ignition, lightning, theft, burglary, flood, cyclone, storm, earthquake, landslide, riot, strike, terrorism, malicious act, transit</t>
        </is>
      </c>
      <c r="I224" s="14" t="n">
        <v>7332</v>
      </c>
      <c r="J224" s="14">
        <f>IF(F224="","",IFERROR(INT(F224-TODAY()),""))</f>
        <v/>
      </c>
      <c r="K224" s="14">
        <f>IF(J224="","",IF(J224&lt;0,"Expired",IF(J224&lt;=30,"Expiring Soon","Active")))</f>
        <v/>
      </c>
      <c r="L224" s="14" t="n">
        <v>1</v>
      </c>
      <c r="M224" s="14" t="inlineStr">
        <is>
          <t>Annual</t>
        </is>
      </c>
    </row>
    <row r="225">
      <c r="A225" t="inlineStr">
        <is>
          <t>MD9EMHDL24D217458.pdf</t>
        </is>
      </c>
      <c r="B225" t="inlineStr">
        <is>
          <t>MD9EMHDL24D217458</t>
        </is>
      </c>
      <c r="C225" t="inlineStr">
        <is>
          <t>Royal Sundaram General Insurance Co. Limited</t>
        </is>
      </c>
      <c r="D225" t="inlineStr">
        <is>
          <t>VGC1159760000101</t>
        </is>
      </c>
      <c r="E225" t="inlineStr">
        <is>
          <t>2025-05-28</t>
        </is>
      </c>
      <c r="F225" t="inlineStr">
        <is>
          <t>2026-05-27</t>
        </is>
      </c>
      <c r="G225" t="inlineStr">
        <is>
          <t>Yes</t>
        </is>
      </c>
      <c r="H225" t="inlineStr">
        <is>
          <t>accident, fire, explosion, self-ignition, lightning, theft, burglary, flood, cyclone, storm, earthquake, landslide, riot, strike, terrorism, malicious act, transit</t>
        </is>
      </c>
      <c r="I225" t="n">
        <v>7934</v>
      </c>
      <c r="J225">
        <f>IF(F225="","",IFERROR(INT(F225-TODAY()),""))</f>
        <v/>
      </c>
      <c r="K225">
        <f>IF(J225="","",IF(J225&lt;0,"Expired",IF(J225&lt;=30,"Expiring Soon","Active")))</f>
        <v/>
      </c>
      <c r="L225" t="n">
        <v>1</v>
      </c>
      <c r="M225" t="inlineStr">
        <is>
          <t>Annual</t>
        </is>
      </c>
    </row>
    <row r="226">
      <c r="A226" s="14" t="inlineStr">
        <is>
          <t>MD9EMHDL24E217016.pdf</t>
        </is>
      </c>
      <c r="B226" s="14" t="inlineStr">
        <is>
          <t>MD9EMHDL24E217016</t>
        </is>
      </c>
      <c r="C226" s="14" t="inlineStr">
        <is>
          <t>Royal Sundaram General Insurance Co. Limited</t>
        </is>
      </c>
      <c r="D226" s="14" t="inlineStr">
        <is>
          <t>VGC1159751000101</t>
        </is>
      </c>
      <c r="E226" s="14" t="inlineStr">
        <is>
          <t>2025-05-28</t>
        </is>
      </c>
      <c r="F226" s="14" t="inlineStr">
        <is>
          <t>2026-05-27</t>
        </is>
      </c>
      <c r="G226" s="14" t="inlineStr">
        <is>
          <t>Yes</t>
        </is>
      </c>
      <c r="H226" s="14" t="inlineStr">
        <is>
          <t>accident, fire, explosion, self-ignition, lightning, theft, burglary</t>
        </is>
      </c>
      <c r="I226" s="14" t="n">
        <v>7332</v>
      </c>
      <c r="J226" s="14">
        <f>IF(F226="","",IFERROR(INT(F226-TODAY()),""))</f>
        <v/>
      </c>
      <c r="K226" s="14">
        <f>IF(J226="","",IF(J226&lt;0,"Expired",IF(J226&lt;=30,"Expiring Soon","Active")))</f>
        <v/>
      </c>
      <c r="L226" s="14" t="n">
        <v>1</v>
      </c>
      <c r="M226" s="14" t="inlineStr">
        <is>
          <t>Annual</t>
        </is>
      </c>
    </row>
    <row r="227">
      <c r="A227" t="inlineStr">
        <is>
          <t>MD9EMHDL24E217023.pdf</t>
        </is>
      </c>
      <c r="B227" t="inlineStr">
        <is>
          <t>MD9EMHDL24E217023</t>
        </is>
      </c>
      <c r="C227" t="inlineStr">
        <is>
          <t>Royal Sundaram General Insurance Co. Limited</t>
        </is>
      </c>
      <c r="D227" t="inlineStr">
        <is>
          <t>VGC1159762000101</t>
        </is>
      </c>
      <c r="E227" t="inlineStr">
        <is>
          <t>2025-05-28</t>
        </is>
      </c>
      <c r="F227" t="inlineStr">
        <is>
          <t>2026-05-27</t>
        </is>
      </c>
      <c r="G227" t="inlineStr">
        <is>
          <t>Yes</t>
        </is>
      </c>
      <c r="H227" t="inlineStr">
        <is>
          <t>accident, fire, explosion, self-ignition, lightning, theft, burglary, flood, cyclone, storm, earthquake, landslide, riot, strike, terrorism, malicious act, transit</t>
        </is>
      </c>
      <c r="I227" t="n">
        <v>7934</v>
      </c>
      <c r="J227">
        <f>IF(F227="","",IFERROR(INT(F227-TODAY()),""))</f>
        <v/>
      </c>
      <c r="K227">
        <f>IF(J227="","",IF(J227&lt;0,"Expired",IF(J227&lt;=30,"Expiring Soon","Active")))</f>
        <v/>
      </c>
      <c r="L227" t="n">
        <v>1</v>
      </c>
      <c r="M227" t="inlineStr">
        <is>
          <t>Annual</t>
        </is>
      </c>
    </row>
    <row r="228">
      <c r="A228" s="14" t="inlineStr">
        <is>
          <t>MD9EMHDL24E217031.pdf</t>
        </is>
      </c>
      <c r="B228" s="14" t="inlineStr">
        <is>
          <t>MD9EMHDL24E217031</t>
        </is>
      </c>
      <c r="C228" s="14" t="inlineStr">
        <is>
          <t>Royal Sundaram General Insurance Co. Limited</t>
        </is>
      </c>
      <c r="D228" s="14" t="inlineStr">
        <is>
          <t>VGC1159757000101</t>
        </is>
      </c>
      <c r="E228" s="14" t="inlineStr">
        <is>
          <t>2025-05-28</t>
        </is>
      </c>
      <c r="F228" s="14" t="inlineStr">
        <is>
          <t>2026-05-27</t>
        </is>
      </c>
      <c r="G228" s="14" t="inlineStr">
        <is>
          <t>Yes</t>
        </is>
      </c>
      <c r="H228" s="14" t="inlineStr">
        <is>
          <t>accident, fire, explosion, self-ignition, lightning, theft, burglary</t>
        </is>
      </c>
      <c r="I228" s="14" t="n">
        <v>7332</v>
      </c>
      <c r="J228" s="14">
        <f>IF(F228="","",IFERROR(INT(F228-TODAY()),""))</f>
        <v/>
      </c>
      <c r="K228" s="14">
        <f>IF(J228="","",IF(J228&lt;0,"Expired",IF(J228&lt;=30,"Expiring Soon","Active")))</f>
        <v/>
      </c>
      <c r="L228" s="14" t="n">
        <v>1</v>
      </c>
      <c r="M228" s="14" t="inlineStr">
        <is>
          <t>Annual</t>
        </is>
      </c>
    </row>
    <row r="229">
      <c r="A229" t="inlineStr">
        <is>
          <t>MD9EMHDL24E217066.pdf</t>
        </is>
      </c>
      <c r="B229" t="inlineStr">
        <is>
          <t>MD9EMHDL24E217066</t>
        </is>
      </c>
      <c r="C229" t="inlineStr">
        <is>
          <t>Royal Sundaram General Insurance Co. Limited</t>
        </is>
      </c>
      <c r="D229" t="inlineStr">
        <is>
          <t>VGC1159773000101</t>
        </is>
      </c>
      <c r="E229" t="inlineStr">
        <is>
          <t>2025-05-28</t>
        </is>
      </c>
      <c r="F229" t="inlineStr">
        <is>
          <t>2026-05-27</t>
        </is>
      </c>
      <c r="G229" t="inlineStr">
        <is>
          <t>Yes</t>
        </is>
      </c>
      <c r="H229" t="inlineStr">
        <is>
          <t>accident, fire, explosion, self-ignition, lightning, theft, burglary, flood, cyclone, storm, earthquake, landslide, riot, strike, terrorism, malicious act, transit</t>
        </is>
      </c>
      <c r="I229" t="n">
        <v>7332</v>
      </c>
      <c r="J229">
        <f>IF(F229="","",IFERROR(INT(F229-TODAY()),""))</f>
        <v/>
      </c>
      <c r="K229">
        <f>IF(J229="","",IF(J229&lt;0,"Expired",IF(J229&lt;=30,"Expiring Soon","Active")))</f>
        <v/>
      </c>
      <c r="L229" t="n">
        <v>1</v>
      </c>
      <c r="M229" t="inlineStr">
        <is>
          <t>Annual</t>
        </is>
      </c>
    </row>
    <row r="230">
      <c r="A230" s="14" t="inlineStr">
        <is>
          <t>MD9EMHDL25F217256.pdf</t>
        </is>
      </c>
      <c r="B230" s="14" t="inlineStr">
        <is>
          <t>MD9EMHDL25F217256</t>
        </is>
      </c>
      <c r="C230" s="14" t="inlineStr">
        <is>
          <t>Royal Sundaram General Insurance Co. Limited</t>
        </is>
      </c>
      <c r="D230" s="14" t="inlineStr">
        <is>
          <t>VGC1387366000100</t>
        </is>
      </c>
      <c r="E230" s="14" t="inlineStr">
        <is>
          <t>2025-08-05</t>
        </is>
      </c>
      <c r="F230" s="14" t="inlineStr">
        <is>
          <t>2026-08-04</t>
        </is>
      </c>
      <c r="G230" s="14" t="inlineStr">
        <is>
          <t>Yes</t>
        </is>
      </c>
      <c r="H230" s="14" t="inlineStr">
        <is>
          <t>accident, fire, explosion, self-ignition, lightning, theft, burglary, flood, cyclone, storm, earthquake, landslide, riot, strike, terrorism, malicious act, transit</t>
        </is>
      </c>
      <c r="I230" s="14" t="n">
        <v>7447</v>
      </c>
      <c r="J230" s="14">
        <f>IF(F230="","",IFERROR(INT(F230-TODAY()),""))</f>
        <v/>
      </c>
      <c r="K230" s="14">
        <f>IF(J230="","",IF(J230&lt;0,"Expired",IF(J230&lt;=30,"Expiring Soon","Active")))</f>
        <v/>
      </c>
      <c r="L230" s="14" t="n">
        <v>1</v>
      </c>
      <c r="M230" s="14" t="inlineStr">
        <is>
          <t>Annual</t>
        </is>
      </c>
    </row>
    <row r="231">
      <c r="A231" t="inlineStr">
        <is>
          <t>MD9GED1E24C611187_Growthwing Tranche 18.pdf</t>
        </is>
      </c>
      <c r="B231" t="inlineStr">
        <is>
          <t>MD9GED1E24C611187</t>
        </is>
      </c>
      <c r="C231" t="inlineStr">
        <is>
          <t>Royal Sundaram General Insurance Co. Limited</t>
        </is>
      </c>
      <c r="D231" t="inlineStr">
        <is>
          <t>VGC1128208000102</t>
        </is>
      </c>
      <c r="E231" t="inlineStr">
        <is>
          <t>2026-03-22</t>
        </is>
      </c>
      <c r="F231" t="inlineStr">
        <is>
          <t>2027-03-21</t>
        </is>
      </c>
      <c r="G231" t="inlineStr">
        <is>
          <t>Yes</t>
        </is>
      </c>
      <c r="H231" t="inlineStr">
        <is>
          <t>accident, fire, explosion, self-ignition, lightning, theft, burglary, flood, cyclone, storm, earthquake, landslide, riot, strike, terrorism, malicious act, transit</t>
        </is>
      </c>
      <c r="I231" t="n">
        <v>6306</v>
      </c>
      <c r="J231">
        <f>IF(F231="","",IFERROR(INT(F231-TODAY()),""))</f>
        <v/>
      </c>
      <c r="K231">
        <f>IF(J231="","",IF(J231&lt;0,"Expired",IF(J231&lt;=30,"Expiring Soon","Active")))</f>
        <v/>
      </c>
      <c r="L231" t="n">
        <v>1</v>
      </c>
      <c r="M231" t="inlineStr">
        <is>
          <t>Annual</t>
        </is>
      </c>
    </row>
    <row r="232">
      <c r="A232" s="14" t="inlineStr">
        <is>
          <t>MEPHENYNB07AL1399.pdf</t>
        </is>
      </c>
      <c r="B232" s="14" t="inlineStr">
        <is>
          <t>MEPHENYNB07AL1399</t>
        </is>
      </c>
      <c r="C232" s="14" t="inlineStr">
        <is>
          <t>Go Digit General Insurance Ltd.</t>
        </is>
      </c>
      <c r="D232" s="14" t="inlineStr">
        <is>
          <t>IA193519464</t>
        </is>
      </c>
      <c r="E232" s="14" t="inlineStr">
        <is>
          <t>2025-08-27</t>
        </is>
      </c>
      <c r="F232" s="14" t="inlineStr">
        <is>
          <t>2026-08-26</t>
        </is>
      </c>
      <c r="G232" s="14" t="inlineStr">
        <is>
          <t>No</t>
        </is>
      </c>
      <c r="H232" s="14" t="inlineStr">
        <is>
          <t>third-party only</t>
        </is>
      </c>
      <c r="I232" s="14" t="n">
        <v>772.5599999999999</v>
      </c>
      <c r="J232" s="14">
        <f>IF(F232="","",IFERROR(INT(F232-TODAY()),""))</f>
        <v/>
      </c>
      <c r="K232" s="14">
        <f>IF(J232="","",IF(J232&lt;0,"Expired",IF(J232&lt;=30,"Expiring Soon","Active")))</f>
        <v/>
      </c>
      <c r="L232" s="14" t="n">
        <v>1</v>
      </c>
      <c r="M232" s="14" t="inlineStr">
        <is>
          <t>Annual</t>
        </is>
      </c>
    </row>
    <row r="233">
      <c r="A233" t="inlineStr">
        <is>
          <t>MEPHENYNB07AL3207.pdf</t>
        </is>
      </c>
      <c r="B233" t="inlineStr">
        <is>
          <t>MEPHENYNB07AL3207</t>
        </is>
      </c>
      <c r="C233" t="inlineStr">
        <is>
          <t>Go Digit General Insurance Ltd.</t>
        </is>
      </c>
      <c r="D233" t="inlineStr">
        <is>
          <t>IA193519316</t>
        </is>
      </c>
      <c r="E233" t="inlineStr">
        <is>
          <t>2025-08-25</t>
        </is>
      </c>
      <c r="F233" t="inlineStr">
        <is>
          <t>2026-08-24</t>
        </is>
      </c>
      <c r="G233" t="inlineStr">
        <is>
          <t>No</t>
        </is>
      </c>
      <c r="H233" t="inlineStr">
        <is>
          <t>third-party only</t>
        </is>
      </c>
      <c r="I233" t="n">
        <v>772.5599999999999</v>
      </c>
      <c r="J233">
        <f>IF(F233="","",IFERROR(INT(F233-TODAY()),""))</f>
        <v/>
      </c>
      <c r="K233">
        <f>IF(J233="","",IF(J233&lt;0,"Expired",IF(J233&lt;=30,"Expiring Soon","Active")))</f>
        <v/>
      </c>
      <c r="L233" t="n">
        <v>1</v>
      </c>
      <c r="M233" t="inlineStr">
        <is>
          <t>Annual</t>
        </is>
      </c>
    </row>
    <row r="234">
      <c r="A234" s="14" t="inlineStr">
        <is>
          <t>MEPHENYNB07AL3214.pdf</t>
        </is>
      </c>
      <c r="B234" s="14" t="inlineStr">
        <is>
          <t>MEPHENYNB07AL3214</t>
        </is>
      </c>
      <c r="C234" s="14" t="inlineStr">
        <is>
          <t>Go Digit General Insurance Ltd.</t>
        </is>
      </c>
      <c r="D234" s="14" t="inlineStr">
        <is>
          <t>IA193519451</t>
        </is>
      </c>
      <c r="E234" s="14" t="inlineStr">
        <is>
          <t>2025-08-25</t>
        </is>
      </c>
      <c r="F234" s="14" t="inlineStr">
        <is>
          <t>2026-08-24</t>
        </is>
      </c>
      <c r="G234" s="14" t="inlineStr">
        <is>
          <t>No</t>
        </is>
      </c>
      <c r="H234" s="14" t="inlineStr">
        <is>
          <t>third-party only</t>
        </is>
      </c>
      <c r="I234" s="14" t="n">
        <v>772.5599999999999</v>
      </c>
      <c r="J234" s="14">
        <f>IF(F234="","",IFERROR(INT(F234-TODAY()),""))</f>
        <v/>
      </c>
      <c r="K234" s="14">
        <f>IF(J234="","",IF(J234&lt;0,"Expired",IF(J234&lt;=30,"Expiring Soon","Active")))</f>
        <v/>
      </c>
      <c r="L234" s="14" t="n">
        <v>1</v>
      </c>
      <c r="M234" s="14" t="inlineStr">
        <is>
          <t>Annual</t>
        </is>
      </c>
    </row>
    <row r="235">
      <c r="A235" t="inlineStr">
        <is>
          <t>MEPHENYNB07AL3217.pdf</t>
        </is>
      </c>
      <c r="B235" t="inlineStr">
        <is>
          <t>MEPHENYNB07AL3217</t>
        </is>
      </c>
      <c r="C235" t="inlineStr">
        <is>
          <t>Go Digit General Insurance Ltd.</t>
        </is>
      </c>
      <c r="D235" t="inlineStr">
        <is>
          <t>IA193519456</t>
        </is>
      </c>
      <c r="E235" t="inlineStr">
        <is>
          <t>2025-08-25</t>
        </is>
      </c>
      <c r="F235" t="inlineStr">
        <is>
          <t>2026-08-24</t>
        </is>
      </c>
      <c r="G235" t="inlineStr">
        <is>
          <t>No</t>
        </is>
      </c>
      <c r="H235" t="inlineStr">
        <is>
          <t>third-party only</t>
        </is>
      </c>
      <c r="I235" t="n">
        <v>772.5599999999999</v>
      </c>
      <c r="J235">
        <f>IF(F235="","",IFERROR(INT(F235-TODAY()),""))</f>
        <v/>
      </c>
      <c r="K235">
        <f>IF(J235="","",IF(J235&lt;0,"Expired",IF(J235&lt;=30,"Expiring Soon","Active")))</f>
        <v/>
      </c>
      <c r="L235" t="n">
        <v>1</v>
      </c>
      <c r="M235" t="inlineStr">
        <is>
          <t>Annual</t>
        </is>
      </c>
    </row>
    <row r="236">
      <c r="A236" s="14" t="inlineStr">
        <is>
          <t>MEPHENYNB07AL3222.pdf</t>
        </is>
      </c>
      <c r="B236" s="14" t="inlineStr">
        <is>
          <t>MEPHENYNB07AL3222</t>
        </is>
      </c>
      <c r="C236" s="14" t="inlineStr">
        <is>
          <t>Go Digit General Insurance Ltd.</t>
        </is>
      </c>
      <c r="D236" s="14" t="inlineStr">
        <is>
          <t>IA193519396</t>
        </is>
      </c>
      <c r="E236" s="14" t="inlineStr">
        <is>
          <t>2025-08-25</t>
        </is>
      </c>
      <c r="F236" s="14" t="inlineStr">
        <is>
          <t>2026-08-24</t>
        </is>
      </c>
      <c r="G236" s="14" t="inlineStr">
        <is>
          <t>No</t>
        </is>
      </c>
      <c r="H236" s="14" t="inlineStr">
        <is>
          <t>third-party only</t>
        </is>
      </c>
      <c r="I236" s="14" t="n">
        <v>772.5599999999999</v>
      </c>
      <c r="J236" s="14">
        <f>IF(F236="","",IFERROR(INT(F236-TODAY()),""))</f>
        <v/>
      </c>
      <c r="K236" s="14">
        <f>IF(J236="","",IF(J236&lt;0,"Expired",IF(J236&lt;=30,"Expiring Soon","Active")))</f>
        <v/>
      </c>
      <c r="L236" s="14" t="n">
        <v>1</v>
      </c>
      <c r="M236" s="14" t="inlineStr">
        <is>
          <t>Annual</t>
        </is>
      </c>
    </row>
    <row r="237">
      <c r="A237" t="inlineStr">
        <is>
          <t>MEPHENYNB07AL3224.pdf</t>
        </is>
      </c>
      <c r="B237" t="inlineStr">
        <is>
          <t>MEPHENYNB07AL3224</t>
        </is>
      </c>
      <c r="C237" t="inlineStr">
        <is>
          <t>Go Digit General Insurance Ltd.</t>
        </is>
      </c>
      <c r="D237" t="inlineStr">
        <is>
          <t>IA193519748</t>
        </is>
      </c>
      <c r="E237" t="inlineStr">
        <is>
          <t>2025-08-25</t>
        </is>
      </c>
      <c r="F237" t="inlineStr">
        <is>
          <t>2026-08-24</t>
        </is>
      </c>
      <c r="G237" t="inlineStr">
        <is>
          <t>No</t>
        </is>
      </c>
      <c r="H237" t="inlineStr">
        <is>
          <t>third-party only</t>
        </is>
      </c>
      <c r="I237" t="n">
        <v>772.5599999999999</v>
      </c>
      <c r="J237">
        <f>IF(F237="","",IFERROR(INT(F237-TODAY()),""))</f>
        <v/>
      </c>
      <c r="K237">
        <f>IF(J237="","",IF(J237&lt;0,"Expired",IF(J237&lt;=30,"Expiring Soon","Active")))</f>
        <v/>
      </c>
      <c r="L237" t="n">
        <v>1</v>
      </c>
      <c r="M237" t="inlineStr">
        <is>
          <t>Annual</t>
        </is>
      </c>
    </row>
    <row r="238">
      <c r="A238" s="14" t="inlineStr">
        <is>
          <t>MEPHENYNB07AL3227.pdf</t>
        </is>
      </c>
      <c r="B238" s="14" t="inlineStr">
        <is>
          <t>MEPHENYNB07AL3227</t>
        </is>
      </c>
      <c r="C238" s="14" t="inlineStr">
        <is>
          <t>Go Digit General Insurance Ltd.</t>
        </is>
      </c>
      <c r="D238" s="14" t="inlineStr">
        <is>
          <t>IA193519413</t>
        </is>
      </c>
      <c r="E238" s="14" t="inlineStr">
        <is>
          <t>2025-08-25</t>
        </is>
      </c>
      <c r="F238" s="14" t="inlineStr">
        <is>
          <t>2026-08-24</t>
        </is>
      </c>
      <c r="G238" s="14" t="inlineStr">
        <is>
          <t>No</t>
        </is>
      </c>
      <c r="H238" s="14" t="inlineStr">
        <is>
          <t>third-party only</t>
        </is>
      </c>
      <c r="I238" s="14" t="n">
        <v>772.5599999999999</v>
      </c>
      <c r="J238" s="14">
        <f>IF(F238="","",IFERROR(INT(F238-TODAY()),""))</f>
        <v/>
      </c>
      <c r="K238" s="14">
        <f>IF(J238="","",IF(J238&lt;0,"Expired",IF(J238&lt;=30,"Expiring Soon","Active")))</f>
        <v/>
      </c>
      <c r="L238" s="14" t="n">
        <v>1</v>
      </c>
      <c r="M238" s="14" t="inlineStr">
        <is>
          <t>Annual</t>
        </is>
      </c>
    </row>
    <row r="239">
      <c r="A239" t="inlineStr">
        <is>
          <t>MEPHENYNB07AL3230.pdf</t>
        </is>
      </c>
      <c r="B239" t="inlineStr">
        <is>
          <t>MEPHENYNB07AL3230</t>
        </is>
      </c>
      <c r="C239" t="inlineStr">
        <is>
          <t>Go Digit General Insurance Ltd.</t>
        </is>
      </c>
      <c r="D239" t="inlineStr">
        <is>
          <t>IA193519419</t>
        </is>
      </c>
      <c r="E239" t="inlineStr">
        <is>
          <t>2025-08-25</t>
        </is>
      </c>
      <c r="F239" t="inlineStr">
        <is>
          <t>2026-08-24</t>
        </is>
      </c>
      <c r="G239" t="inlineStr">
        <is>
          <t>No</t>
        </is>
      </c>
      <c r="H239" t="inlineStr">
        <is>
          <t>third-party only</t>
        </is>
      </c>
      <c r="I239" t="n">
        <v>772.5599999999999</v>
      </c>
      <c r="J239">
        <f>IF(F239="","",IFERROR(INT(F239-TODAY()),""))</f>
        <v/>
      </c>
      <c r="K239">
        <f>IF(J239="","",IF(J239&lt;0,"Expired",IF(J239&lt;=30,"Expiring Soon","Active")))</f>
        <v/>
      </c>
      <c r="L239" t="n">
        <v>1</v>
      </c>
      <c r="M239" t="inlineStr">
        <is>
          <t>Annual</t>
        </is>
      </c>
    </row>
    <row r="240">
      <c r="A240" s="14" t="inlineStr">
        <is>
          <t>MEPHENYNB07AL3233.pdf</t>
        </is>
      </c>
      <c r="B240" s="14" t="inlineStr">
        <is>
          <t>MEPHENYNB07AL3233</t>
        </is>
      </c>
      <c r="C240" s="14" t="inlineStr">
        <is>
          <t>Go Digit General Insurance Ltd.</t>
        </is>
      </c>
      <c r="D240" s="14" t="inlineStr">
        <is>
          <t>IA193519475</t>
        </is>
      </c>
      <c r="E240" s="14" t="inlineStr">
        <is>
          <t>2025-08-25</t>
        </is>
      </c>
      <c r="F240" s="14" t="inlineStr">
        <is>
          <t>2026-08-24</t>
        </is>
      </c>
      <c r="G240" s="14" t="inlineStr">
        <is>
          <t>No</t>
        </is>
      </c>
      <c r="H240" s="14" t="inlineStr">
        <is>
          <t>third-party only</t>
        </is>
      </c>
      <c r="I240" s="14" t="n">
        <v>772.5599999999999</v>
      </c>
      <c r="J240" s="14">
        <f>IF(F240="","",IFERROR(INT(F240-TODAY()),""))</f>
        <v/>
      </c>
      <c r="K240" s="14">
        <f>IF(J240="","",IF(J240&lt;0,"Expired",IF(J240&lt;=30,"Expiring Soon","Active")))</f>
        <v/>
      </c>
      <c r="L240" s="14" t="n">
        <v>1</v>
      </c>
      <c r="M240" s="14" t="inlineStr">
        <is>
          <t>Annual</t>
        </is>
      </c>
    </row>
    <row r="241">
      <c r="A241" t="inlineStr">
        <is>
          <t>MEPHENYNB07AL3240.pdf</t>
        </is>
      </c>
      <c r="B241" t="inlineStr">
        <is>
          <t>MEPHENYNB07AL3240</t>
        </is>
      </c>
      <c r="C241" t="inlineStr">
        <is>
          <t>Go Digit General Insurance Ltd.</t>
        </is>
      </c>
      <c r="D241" t="inlineStr">
        <is>
          <t>IA193519445</t>
        </is>
      </c>
      <c r="E241" t="inlineStr">
        <is>
          <t>2025-08-25</t>
        </is>
      </c>
      <c r="F241" t="inlineStr">
        <is>
          <t>2026-08-24</t>
        </is>
      </c>
      <c r="G241" t="inlineStr">
        <is>
          <t>No</t>
        </is>
      </c>
      <c r="H241" t="inlineStr">
        <is>
          <t>third-party only</t>
        </is>
      </c>
      <c r="I241" t="n">
        <v>772.5599999999999</v>
      </c>
      <c r="J241">
        <f>IF(F241="","",IFERROR(INT(F241-TODAY()),""))</f>
        <v/>
      </c>
      <c r="K241">
        <f>IF(J241="","",IF(J241&lt;0,"Expired",IF(J241&lt;=30,"Expiring Soon","Active")))</f>
        <v/>
      </c>
      <c r="L241" t="n">
        <v>1</v>
      </c>
      <c r="M241" t="inlineStr">
        <is>
          <t>Annual</t>
        </is>
      </c>
    </row>
    <row r="242">
      <c r="A242" s="14" t="inlineStr">
        <is>
          <t>MEPHENYNB07AL3242.pdf</t>
        </is>
      </c>
      <c r="B242" s="14" t="inlineStr">
        <is>
          <t>MEPHENYNB07AL3242</t>
        </is>
      </c>
      <c r="C242" s="14" t="inlineStr">
        <is>
          <t>Go Digit General Insurance Ltd.</t>
        </is>
      </c>
      <c r="D242" s="14" t="inlineStr">
        <is>
          <t>IA193519404</t>
        </is>
      </c>
      <c r="E242" s="14" t="inlineStr">
        <is>
          <t>2025-08-25</t>
        </is>
      </c>
      <c r="F242" s="14" t="inlineStr">
        <is>
          <t>2026-08-24</t>
        </is>
      </c>
      <c r="G242" s="14" t="inlineStr">
        <is>
          <t>No</t>
        </is>
      </c>
      <c r="H242" s="14" t="inlineStr">
        <is>
          <t>third-party only</t>
        </is>
      </c>
      <c r="I242" s="14" t="n">
        <v>772.5599999999999</v>
      </c>
      <c r="J242" s="14">
        <f>IF(F242="","",IFERROR(INT(F242-TODAY()),""))</f>
        <v/>
      </c>
      <c r="K242" s="14">
        <f>IF(J242="","",IF(J242&lt;0,"Expired",IF(J242&lt;=30,"Expiring Soon","Active")))</f>
        <v/>
      </c>
      <c r="L242" s="14" t="n">
        <v>1</v>
      </c>
      <c r="M242" s="14" t="inlineStr">
        <is>
          <t>Annual</t>
        </is>
      </c>
    </row>
    <row r="243">
      <c r="A243" t="inlineStr">
        <is>
          <t>MEPHENYNB07AL3244.pdf</t>
        </is>
      </c>
      <c r="B243" t="inlineStr">
        <is>
          <t>MEPHENYNB07AL3244</t>
        </is>
      </c>
      <c r="C243" t="inlineStr">
        <is>
          <t>Go Digit General Insurance Ltd.</t>
        </is>
      </c>
      <c r="D243" t="inlineStr">
        <is>
          <t>IA193519405</t>
        </is>
      </c>
      <c r="E243" t="inlineStr">
        <is>
          <t>2025-08-25</t>
        </is>
      </c>
      <c r="F243" t="inlineStr">
        <is>
          <t>2026-08-24</t>
        </is>
      </c>
      <c r="G243" t="inlineStr">
        <is>
          <t>No</t>
        </is>
      </c>
      <c r="H243" t="inlineStr">
        <is>
          <t>accident</t>
        </is>
      </c>
      <c r="I243" t="n">
        <v>772.5599999999999</v>
      </c>
      <c r="J243">
        <f>IF(F243="","",IFERROR(INT(F243-TODAY()),""))</f>
        <v/>
      </c>
      <c r="K243">
        <f>IF(J243="","",IF(J243&lt;0,"Expired",IF(J243&lt;=30,"Expiring Soon","Active")))</f>
        <v/>
      </c>
      <c r="L243" t="n">
        <v>1</v>
      </c>
      <c r="M243" t="inlineStr">
        <is>
          <t>Annual</t>
        </is>
      </c>
    </row>
    <row r="244">
      <c r="A244" s="14" t="inlineStr">
        <is>
          <t>MEPHENYNB07AL3246.pdf</t>
        </is>
      </c>
      <c r="B244" s="14" t="inlineStr">
        <is>
          <t>MEPHENYNB07AL3246</t>
        </is>
      </c>
      <c r="C244" s="14" t="inlineStr">
        <is>
          <t>Go Digit General Insurance Ltd.</t>
        </is>
      </c>
      <c r="D244" s="14" t="inlineStr">
        <is>
          <t>IA193519793</t>
        </is>
      </c>
      <c r="E244" s="14" t="inlineStr">
        <is>
          <t>2025-08-25</t>
        </is>
      </c>
      <c r="F244" s="14" t="inlineStr">
        <is>
          <t>2026-08-24</t>
        </is>
      </c>
      <c r="G244" s="14" t="inlineStr">
        <is>
          <t>No</t>
        </is>
      </c>
      <c r="H244" s="14" t="inlineStr">
        <is>
          <t>third-party only</t>
        </is>
      </c>
      <c r="I244" s="14" t="n">
        <v>772.5599999999999</v>
      </c>
      <c r="J244" s="14">
        <f>IF(F244="","",IFERROR(INT(F244-TODAY()),""))</f>
        <v/>
      </c>
      <c r="K244" s="14">
        <f>IF(J244="","",IF(J244&lt;0,"Expired",IF(J244&lt;=30,"Expiring Soon","Active")))</f>
        <v/>
      </c>
      <c r="L244" s="14" t="n">
        <v>1</v>
      </c>
      <c r="M244" s="14" t="inlineStr">
        <is>
          <t>Annual</t>
        </is>
      </c>
    </row>
    <row r="245">
      <c r="A245" t="inlineStr">
        <is>
          <t>MEPHENYNB07AL3249.pdf</t>
        </is>
      </c>
      <c r="B245" t="inlineStr">
        <is>
          <t>MEPHENYNB07AL3249</t>
        </is>
      </c>
      <c r="C245" t="inlineStr">
        <is>
          <t>Go Digit General Insurance Ltd.</t>
        </is>
      </c>
      <c r="D245" t="inlineStr">
        <is>
          <t>IA193519362</t>
        </is>
      </c>
      <c r="E245" t="inlineStr">
        <is>
          <t>2025-08-25</t>
        </is>
      </c>
      <c r="F245" t="inlineStr">
        <is>
          <t>2026-08-24</t>
        </is>
      </c>
      <c r="G245" t="inlineStr">
        <is>
          <t>No</t>
        </is>
      </c>
      <c r="H245" t="inlineStr">
        <is>
          <t>third-party only</t>
        </is>
      </c>
      <c r="I245" t="n">
        <v>772.5599999999999</v>
      </c>
      <c r="J245">
        <f>IF(F245="","",IFERROR(INT(F245-TODAY()),""))</f>
        <v/>
      </c>
      <c r="K245">
        <f>IF(J245="","",IF(J245&lt;0,"Expired",IF(J245&lt;=30,"Expiring Soon","Active")))</f>
        <v/>
      </c>
      <c r="L245" t="n">
        <v>1</v>
      </c>
      <c r="M245" t="inlineStr">
        <is>
          <t>Annual</t>
        </is>
      </c>
    </row>
    <row r="246">
      <c r="A246" s="14" t="inlineStr">
        <is>
          <t>MEPHENYNB07AL3251.pdf</t>
        </is>
      </c>
      <c r="B246" s="14" t="inlineStr">
        <is>
          <t>MEPHENYNB07AL3251</t>
        </is>
      </c>
      <c r="C246" s="14" t="inlineStr">
        <is>
          <t>Go Digit General Insurance Ltd.</t>
        </is>
      </c>
      <c r="D246" s="14" t="inlineStr">
        <is>
          <t>IA193519349</t>
        </is>
      </c>
      <c r="E246" s="14" t="inlineStr">
        <is>
          <t>2025-08-25</t>
        </is>
      </c>
      <c r="F246" s="14" t="inlineStr">
        <is>
          <t>2026-08-24</t>
        </is>
      </c>
      <c r="G246" s="14" t="inlineStr">
        <is>
          <t>No</t>
        </is>
      </c>
      <c r="H246" s="14" t="inlineStr">
        <is>
          <t>third-party only</t>
        </is>
      </c>
      <c r="I246" s="14" t="n">
        <v>772.5599999999999</v>
      </c>
      <c r="J246" s="14">
        <f>IF(F246="","",IFERROR(INT(F246-TODAY()),""))</f>
        <v/>
      </c>
      <c r="K246" s="14">
        <f>IF(J246="","",IF(J246&lt;0,"Expired",IF(J246&lt;=30,"Expiring Soon","Active")))</f>
        <v/>
      </c>
      <c r="L246" s="14" t="n">
        <v>1</v>
      </c>
      <c r="M246" s="14" t="inlineStr">
        <is>
          <t>Annual</t>
        </is>
      </c>
    </row>
    <row r="247">
      <c r="A247" t="inlineStr">
        <is>
          <t>MEPHENYNB07AL3254.pdf</t>
        </is>
      </c>
      <c r="B247" t="inlineStr">
        <is>
          <t>MEPHENYNB07AL3254</t>
        </is>
      </c>
      <c r="C247" t="inlineStr">
        <is>
          <t>Go Digit General Insurance Ltd.</t>
        </is>
      </c>
      <c r="D247" t="inlineStr">
        <is>
          <t>IA193519361</t>
        </is>
      </c>
      <c r="E247" t="inlineStr">
        <is>
          <t>2025-08-25</t>
        </is>
      </c>
      <c r="F247" t="inlineStr">
        <is>
          <t>2026-08-24</t>
        </is>
      </c>
      <c r="G247" t="inlineStr">
        <is>
          <t>No</t>
        </is>
      </c>
      <c r="H247" t="inlineStr">
        <is>
          <t>accident</t>
        </is>
      </c>
      <c r="I247" t="n">
        <v>1030.26</v>
      </c>
      <c r="J247">
        <f>IF(F247="","",IFERROR(INT(F247-TODAY()),""))</f>
        <v/>
      </c>
      <c r="K247">
        <f>IF(J247="","",IF(J247&lt;0,"Expired",IF(J247&lt;=30,"Expiring Soon","Active")))</f>
        <v/>
      </c>
      <c r="L247" t="n">
        <v>1</v>
      </c>
      <c r="M247" t="inlineStr">
        <is>
          <t>Annual</t>
        </is>
      </c>
    </row>
    <row r="248">
      <c r="A248" s="14" t="inlineStr">
        <is>
          <t>MEPHENYNB07AL3257.pdf</t>
        </is>
      </c>
      <c r="B248" s="14" t="inlineStr">
        <is>
          <t>MEPHENYNB07AL3257</t>
        </is>
      </c>
      <c r="C248" s="14" t="inlineStr">
        <is>
          <t>Go Digit General Insurance Ltd.</t>
        </is>
      </c>
      <c r="D248" s="14" t="inlineStr">
        <is>
          <t>IA193519327</t>
        </is>
      </c>
      <c r="E248" s="14" t="inlineStr">
        <is>
          <t>2025-08-25</t>
        </is>
      </c>
      <c r="F248" s="14" t="inlineStr">
        <is>
          <t>2026-08-24</t>
        </is>
      </c>
      <c r="G248" s="14" t="inlineStr">
        <is>
          <t>No</t>
        </is>
      </c>
      <c r="H248" s="14" t="inlineStr">
        <is>
          <t>third-party only</t>
        </is>
      </c>
      <c r="I248" s="14" t="n">
        <v>772.5599999999999</v>
      </c>
      <c r="J248" s="14">
        <f>IF(F248="","",IFERROR(INT(F248-TODAY()),""))</f>
        <v/>
      </c>
      <c r="K248" s="14">
        <f>IF(J248="","",IF(J248&lt;0,"Expired",IF(J248&lt;=30,"Expiring Soon","Active")))</f>
        <v/>
      </c>
      <c r="L248" s="14" t="n">
        <v>1</v>
      </c>
      <c r="M248" s="14" t="inlineStr">
        <is>
          <t>Annual</t>
        </is>
      </c>
    </row>
    <row r="249">
      <c r="A249" t="inlineStr">
        <is>
          <t>MEPHENYNB07AL3261.pdf</t>
        </is>
      </c>
      <c r="B249" t="inlineStr">
        <is>
          <t>MEPHENYNB07AL3261</t>
        </is>
      </c>
      <c r="C249" t="inlineStr">
        <is>
          <t>Go Digit General Insurance Ltd.</t>
        </is>
      </c>
      <c r="D249" t="inlineStr">
        <is>
          <t>IA193519285</t>
        </is>
      </c>
      <c r="E249" t="inlineStr">
        <is>
          <t>2025-08-25</t>
        </is>
      </c>
      <c r="F249" t="inlineStr">
        <is>
          <t>2026-08-24</t>
        </is>
      </c>
      <c r="G249" t="inlineStr">
        <is>
          <t>No</t>
        </is>
      </c>
      <c r="H249" t="inlineStr">
        <is>
          <t>third-party only</t>
        </is>
      </c>
      <c r="I249" t="n">
        <v>1030.26</v>
      </c>
      <c r="J249">
        <f>IF(F249="","",IFERROR(INT(F249-TODAY()),""))</f>
        <v/>
      </c>
      <c r="K249">
        <f>IF(J249="","",IF(J249&lt;0,"Expired",IF(J249&lt;=30,"Expiring Soon","Active")))</f>
        <v/>
      </c>
      <c r="L249" t="n">
        <v>1</v>
      </c>
      <c r="M249" t="inlineStr">
        <is>
          <t>Annual</t>
        </is>
      </c>
    </row>
    <row r="250">
      <c r="A250" s="14" t="inlineStr">
        <is>
          <t>MEPHENYNB07AL3263.pdf</t>
        </is>
      </c>
      <c r="B250" s="14" t="inlineStr">
        <is>
          <t>MEPHENYNB07AL3263</t>
        </is>
      </c>
      <c r="C250" s="14" t="inlineStr">
        <is>
          <t>Go Digit General Insurance Ltd.</t>
        </is>
      </c>
      <c r="D250" s="14" t="inlineStr">
        <is>
          <t>IA193519238</t>
        </is>
      </c>
      <c r="E250" s="14" t="inlineStr">
        <is>
          <t>2025-08-25</t>
        </is>
      </c>
      <c r="F250" s="14" t="inlineStr">
        <is>
          <t>2026-08-24</t>
        </is>
      </c>
      <c r="G250" s="14" t="inlineStr">
        <is>
          <t>No</t>
        </is>
      </c>
      <c r="H250" s="14" t="inlineStr">
        <is>
          <t>accident</t>
        </is>
      </c>
      <c r="I250" s="14" t="n">
        <v>772.5599999999999</v>
      </c>
      <c r="J250" s="14">
        <f>IF(F250="","",IFERROR(INT(F250-TODAY()),""))</f>
        <v/>
      </c>
      <c r="K250" s="14">
        <f>IF(J250="","",IF(J250&lt;0,"Expired",IF(J250&lt;=30,"Expiring Soon","Active")))</f>
        <v/>
      </c>
      <c r="L250" s="14" t="n">
        <v>1</v>
      </c>
      <c r="M250" s="14" t="inlineStr">
        <is>
          <t>Annual</t>
        </is>
      </c>
    </row>
    <row r="251">
      <c r="A251" t="inlineStr">
        <is>
          <t>MEPHENYNB07AL3268.pdf</t>
        </is>
      </c>
      <c r="B251" t="inlineStr">
        <is>
          <t>MEPHENYNB07AL3268</t>
        </is>
      </c>
      <c r="C251" t="inlineStr">
        <is>
          <t>Go Digit General Insurance Ltd.</t>
        </is>
      </c>
      <c r="D251" t="inlineStr">
        <is>
          <t>IA193519317</t>
        </is>
      </c>
      <c r="E251" t="inlineStr">
        <is>
          <t>2025-08-25</t>
        </is>
      </c>
      <c r="F251" t="inlineStr">
        <is>
          <t>2026-08-24</t>
        </is>
      </c>
      <c r="G251" t="inlineStr">
        <is>
          <t>No</t>
        </is>
      </c>
      <c r="H251" t="inlineStr">
        <is>
          <t>third-party only</t>
        </is>
      </c>
      <c r="I251" t="n">
        <v>772.5599999999999</v>
      </c>
      <c r="J251">
        <f>IF(F251="","",IFERROR(INT(F251-TODAY()),""))</f>
        <v/>
      </c>
      <c r="K251">
        <f>IF(J251="","",IF(J251&lt;0,"Expired",IF(J251&lt;=30,"Expiring Soon","Active")))</f>
        <v/>
      </c>
      <c r="L251" t="n">
        <v>1</v>
      </c>
      <c r="M251" t="inlineStr">
        <is>
          <t>Annual</t>
        </is>
      </c>
    </row>
    <row r="252">
      <c r="A252" s="14" t="inlineStr">
        <is>
          <t>MEPHENYNB07AL3270.pdf</t>
        </is>
      </c>
      <c r="B252" s="14" t="inlineStr">
        <is>
          <t>MEPHENYNB07AL3270</t>
        </is>
      </c>
      <c r="C252" s="14" t="inlineStr">
        <is>
          <t>Go Digit General Insurance Ltd.</t>
        </is>
      </c>
      <c r="D252" s="14" t="inlineStr">
        <is>
          <t>IA193519344</t>
        </is>
      </c>
      <c r="E252" s="14" t="inlineStr">
        <is>
          <t>2025-08-25</t>
        </is>
      </c>
      <c r="F252" s="14" t="inlineStr">
        <is>
          <t>2026-08-24</t>
        </is>
      </c>
      <c r="G252" s="14" t="inlineStr">
        <is>
          <t>No</t>
        </is>
      </c>
      <c r="H252" s="14" t="inlineStr">
        <is>
          <t>third-party only</t>
        </is>
      </c>
      <c r="I252" s="14" t="n">
        <v>772.5599999999999</v>
      </c>
      <c r="J252" s="14">
        <f>IF(F252="","",IFERROR(INT(F252-TODAY()),""))</f>
        <v/>
      </c>
      <c r="K252" s="14">
        <f>IF(J252="","",IF(J252&lt;0,"Expired",IF(J252&lt;=30,"Expiring Soon","Active")))</f>
        <v/>
      </c>
      <c r="L252" s="14" t="n">
        <v>1</v>
      </c>
      <c r="M252" s="14" t="inlineStr">
        <is>
          <t>Annual</t>
        </is>
      </c>
    </row>
    <row r="253">
      <c r="A253" t="inlineStr">
        <is>
          <t>MEPHENYNB07AL3273.pdf</t>
        </is>
      </c>
      <c r="B253" t="inlineStr">
        <is>
          <t>MEPHENYNB07AL3273</t>
        </is>
      </c>
      <c r="C253" t="inlineStr">
        <is>
          <t>Go Digit General Insurance Ltd.</t>
        </is>
      </c>
      <c r="D253" t="inlineStr">
        <is>
          <t>IA193519330</t>
        </is>
      </c>
      <c r="E253" t="inlineStr">
        <is>
          <t>2025-08-25</t>
        </is>
      </c>
      <c r="F253" t="inlineStr">
        <is>
          <t>2026-08-24</t>
        </is>
      </c>
      <c r="G253" t="inlineStr">
        <is>
          <t>No</t>
        </is>
      </c>
      <c r="H253" t="inlineStr">
        <is>
          <t>third-party only</t>
        </is>
      </c>
      <c r="I253" t="n">
        <v>772.5599999999999</v>
      </c>
      <c r="J253">
        <f>IF(F253="","",IFERROR(INT(F253-TODAY()),""))</f>
        <v/>
      </c>
      <c r="K253">
        <f>IF(J253="","",IF(J253&lt;0,"Expired",IF(J253&lt;=30,"Expiring Soon","Active")))</f>
        <v/>
      </c>
      <c r="L253" t="n">
        <v>1</v>
      </c>
      <c r="M253" t="inlineStr">
        <is>
          <t>Annual</t>
        </is>
      </c>
    </row>
    <row r="254">
      <c r="A254" s="14" t="inlineStr">
        <is>
          <t>MEPHENYNB07AL3275.pdf</t>
        </is>
      </c>
      <c r="B254" s="14" t="inlineStr">
        <is>
          <t>MEPHENYNB07AL3275</t>
        </is>
      </c>
      <c r="C254" s="14" t="inlineStr">
        <is>
          <t>Go Digit General Insurance Ltd.</t>
        </is>
      </c>
      <c r="D254" s="14" t="inlineStr">
        <is>
          <t>IA193519351</t>
        </is>
      </c>
      <c r="E254" s="14" t="inlineStr">
        <is>
          <t>2025-08-25</t>
        </is>
      </c>
      <c r="F254" s="14" t="inlineStr">
        <is>
          <t>2026-08-24</t>
        </is>
      </c>
      <c r="G254" s="14" t="inlineStr">
        <is>
          <t>No</t>
        </is>
      </c>
      <c r="H254" s="14" t="inlineStr">
        <is>
          <t>third-party only</t>
        </is>
      </c>
      <c r="I254" s="14" t="n">
        <v>772.5599999999999</v>
      </c>
      <c r="J254" s="14">
        <f>IF(F254="","",IFERROR(INT(F254-TODAY()),""))</f>
        <v/>
      </c>
      <c r="K254" s="14">
        <f>IF(J254="","",IF(J254&lt;0,"Expired",IF(J254&lt;=30,"Expiring Soon","Active")))</f>
        <v/>
      </c>
      <c r="L254" s="14" t="n">
        <v>1</v>
      </c>
      <c r="M254" s="14" t="inlineStr">
        <is>
          <t>Annual</t>
        </is>
      </c>
    </row>
    <row r="255">
      <c r="A255" t="inlineStr">
        <is>
          <t>MEPHENYNB07AL3277.pdf</t>
        </is>
      </c>
      <c r="B255" t="inlineStr">
        <is>
          <t>MEPHENYNB07AL3277</t>
        </is>
      </c>
      <c r="C255" t="inlineStr">
        <is>
          <t>Go Digit General Insurance Ltd.</t>
        </is>
      </c>
      <c r="D255" t="inlineStr">
        <is>
          <t>IA193519343</t>
        </is>
      </c>
      <c r="E255" t="inlineStr">
        <is>
          <t>2025-08-25</t>
        </is>
      </c>
      <c r="F255" t="inlineStr">
        <is>
          <t>2026-08-24</t>
        </is>
      </c>
      <c r="G255" t="inlineStr">
        <is>
          <t>No</t>
        </is>
      </c>
      <c r="H255" t="inlineStr">
        <is>
          <t>third-party only</t>
        </is>
      </c>
      <c r="I255" t="n">
        <v>772.5599999999999</v>
      </c>
      <c r="J255">
        <f>IF(F255="","",IFERROR(INT(F255-TODAY()),""))</f>
        <v/>
      </c>
      <c r="K255">
        <f>IF(J255="","",IF(J255&lt;0,"Expired",IF(J255&lt;=30,"Expiring Soon","Active")))</f>
        <v/>
      </c>
      <c r="L255" t="n">
        <v>1</v>
      </c>
      <c r="M255" t="inlineStr">
        <is>
          <t>Annual</t>
        </is>
      </c>
    </row>
    <row r="256">
      <c r="A256" s="14" t="inlineStr">
        <is>
          <t>MEPHENYNB07AL3280.pdf</t>
        </is>
      </c>
      <c r="B256" s="14" t="inlineStr">
        <is>
          <t>MEPHENYNB07AL3280</t>
        </is>
      </c>
      <c r="C256" s="14" t="inlineStr">
        <is>
          <t>Go Digit General Insurance Ltd.</t>
        </is>
      </c>
      <c r="D256" s="14" t="inlineStr">
        <is>
          <t>IA193519308</t>
        </is>
      </c>
      <c r="E256" s="14" t="inlineStr">
        <is>
          <t>2025-08-25</t>
        </is>
      </c>
      <c r="F256" s="14" t="inlineStr">
        <is>
          <t>2026-08-24</t>
        </is>
      </c>
      <c r="G256" s="14" t="inlineStr">
        <is>
          <t>No</t>
        </is>
      </c>
      <c r="H256" s="14" t="inlineStr">
        <is>
          <t>third-party only</t>
        </is>
      </c>
      <c r="I256" s="14" t="n">
        <v>772.5599999999999</v>
      </c>
      <c r="J256" s="14">
        <f>IF(F256="","",IFERROR(INT(F256-TODAY()),""))</f>
        <v/>
      </c>
      <c r="K256" s="14">
        <f>IF(J256="","",IF(J256&lt;0,"Expired",IF(J256&lt;=30,"Expiring Soon","Active")))</f>
        <v/>
      </c>
      <c r="L256" s="14" t="n">
        <v>1</v>
      </c>
      <c r="M256" s="14" t="inlineStr">
        <is>
          <t>Annual</t>
        </is>
      </c>
    </row>
    <row r="257">
      <c r="A257" t="inlineStr">
        <is>
          <t>MEPHENYNB07AL3286.pdf</t>
        </is>
      </c>
      <c r="B257" t="inlineStr">
        <is>
          <t>MEPHENYNB07AL3286</t>
        </is>
      </c>
      <c r="C257" t="inlineStr">
        <is>
          <t>Go Digit General Insurance Ltd.</t>
        </is>
      </c>
      <c r="D257" t="inlineStr">
        <is>
          <t>IA193519309</t>
        </is>
      </c>
      <c r="E257" t="inlineStr">
        <is>
          <t>2025-08-25</t>
        </is>
      </c>
      <c r="F257" t="inlineStr">
        <is>
          <t>2026-08-24</t>
        </is>
      </c>
      <c r="G257" t="inlineStr">
        <is>
          <t>No</t>
        </is>
      </c>
      <c r="H257" t="inlineStr">
        <is>
          <t>third-party only</t>
        </is>
      </c>
      <c r="I257" t="n">
        <v>772.5599999999999</v>
      </c>
      <c r="J257">
        <f>IF(F257="","",IFERROR(INT(F257-TODAY()),""))</f>
        <v/>
      </c>
      <c r="K257">
        <f>IF(J257="","",IF(J257&lt;0,"Expired",IF(J257&lt;=30,"Expiring Soon","Active")))</f>
        <v/>
      </c>
      <c r="L257" t="n">
        <v>1</v>
      </c>
      <c r="M257" t="inlineStr">
        <is>
          <t>Annual</t>
        </is>
      </c>
    </row>
    <row r="258">
      <c r="A258" s="14" t="inlineStr">
        <is>
          <t>MEPHENYNB07AL3290.pdf</t>
        </is>
      </c>
      <c r="B258" s="14" t="inlineStr">
        <is>
          <t>MEPHENYNB07AL3290</t>
        </is>
      </c>
      <c r="C258" s="14" t="inlineStr">
        <is>
          <t>Go Digit General Insurance Ltd.</t>
        </is>
      </c>
      <c r="D258" s="14" t="inlineStr">
        <is>
          <t>IA193519241</t>
        </is>
      </c>
      <c r="E258" s="14" t="inlineStr">
        <is>
          <t>2025-08-25</t>
        </is>
      </c>
      <c r="F258" s="14" t="inlineStr">
        <is>
          <t>2026-08-24</t>
        </is>
      </c>
      <c r="G258" s="14" t="inlineStr">
        <is>
          <t>No</t>
        </is>
      </c>
      <c r="H258" s="14" t="inlineStr">
        <is>
          <t>third-party only</t>
        </is>
      </c>
      <c r="I258" s="14" t="n">
        <v>772.5599999999999</v>
      </c>
      <c r="J258" s="14">
        <f>IF(F258="","",IFERROR(INT(F258-TODAY()),""))</f>
        <v/>
      </c>
      <c r="K258" s="14">
        <f>IF(J258="","",IF(J258&lt;0,"Expired",IF(J258&lt;=30,"Expiring Soon","Active")))</f>
        <v/>
      </c>
      <c r="L258" s="14" t="n">
        <v>1</v>
      </c>
      <c r="M258" s="14" t="inlineStr">
        <is>
          <t>Annual</t>
        </is>
      </c>
    </row>
    <row r="259">
      <c r="A259" t="inlineStr">
        <is>
          <t>MEPHENYNB07AL3296.pdf</t>
        </is>
      </c>
      <c r="B259" t="inlineStr">
        <is>
          <t>MEPHENYNB07AL3296</t>
        </is>
      </c>
      <c r="C259" t="inlineStr">
        <is>
          <t>Go Digit General Insurance Ltd.</t>
        </is>
      </c>
      <c r="D259" t="inlineStr">
        <is>
          <t>IA193519293</t>
        </is>
      </c>
      <c r="E259" t="inlineStr">
        <is>
          <t>2025-08-25</t>
        </is>
      </c>
      <c r="F259" t="inlineStr">
        <is>
          <t>2026-08-24</t>
        </is>
      </c>
      <c r="G259" t="inlineStr">
        <is>
          <t>No</t>
        </is>
      </c>
      <c r="H259" t="inlineStr">
        <is>
          <t>third-party only</t>
        </is>
      </c>
      <c r="I259" t="n">
        <v>772.5599999999999</v>
      </c>
      <c r="J259">
        <f>IF(F259="","",IFERROR(INT(F259-TODAY()),""))</f>
        <v/>
      </c>
      <c r="K259">
        <f>IF(J259="","",IF(J259&lt;0,"Expired",IF(J259&lt;=30,"Expiring Soon","Active")))</f>
        <v/>
      </c>
      <c r="L259" t="n">
        <v>1</v>
      </c>
      <c r="M259" t="inlineStr">
        <is>
          <t>Annual</t>
        </is>
      </c>
    </row>
    <row r="260">
      <c r="A260" s="14" t="inlineStr">
        <is>
          <t>MEPHENYNB07AL3300.pdf</t>
        </is>
      </c>
      <c r="B260" s="14" t="inlineStr">
        <is>
          <t>MEPHENYNB07AL3300</t>
        </is>
      </c>
      <c r="C260" s="14" t="inlineStr">
        <is>
          <t>Go Digit General Insurance Ltd.</t>
        </is>
      </c>
      <c r="D260" s="14" t="inlineStr">
        <is>
          <t>IA193519292</t>
        </is>
      </c>
      <c r="E260" s="14" t="inlineStr">
        <is>
          <t>2025-08-25</t>
        </is>
      </c>
      <c r="F260" s="14" t="inlineStr">
        <is>
          <t>2026-08-24</t>
        </is>
      </c>
      <c r="G260" s="14" t="inlineStr">
        <is>
          <t>No</t>
        </is>
      </c>
      <c r="H260" s="14" t="inlineStr">
        <is>
          <t>accident</t>
        </is>
      </c>
      <c r="I260" s="14" t="n">
        <v>772.5599999999999</v>
      </c>
      <c r="J260" s="14">
        <f>IF(F260="","",IFERROR(INT(F260-TODAY()),""))</f>
        <v/>
      </c>
      <c r="K260" s="14">
        <f>IF(J260="","",IF(J260&lt;0,"Expired",IF(J260&lt;=30,"Expiring Soon","Active")))</f>
        <v/>
      </c>
      <c r="L260" s="14" t="n">
        <v>1</v>
      </c>
      <c r="M260" s="14" t="inlineStr">
        <is>
          <t>Annual</t>
        </is>
      </c>
    </row>
    <row r="261">
      <c r="A261" t="inlineStr">
        <is>
          <t>MEPHENYNB07AL3303.pdf</t>
        </is>
      </c>
      <c r="B261" t="inlineStr">
        <is>
          <t>MEPHENYNB07AL3303</t>
        </is>
      </c>
      <c r="C261" t="inlineStr">
        <is>
          <t>Go Digit General Insurance Ltd.</t>
        </is>
      </c>
      <c r="D261" t="inlineStr">
        <is>
          <t>IA193519253</t>
        </is>
      </c>
      <c r="E261" t="inlineStr">
        <is>
          <t>2025-08-25</t>
        </is>
      </c>
      <c r="F261" t="inlineStr">
        <is>
          <t>2026-08-24</t>
        </is>
      </c>
      <c r="G261" t="inlineStr">
        <is>
          <t>No</t>
        </is>
      </c>
      <c r="H261" t="inlineStr">
        <is>
          <t>third-party only</t>
        </is>
      </c>
      <c r="I261" t="n">
        <v>772.5599999999999</v>
      </c>
      <c r="J261">
        <f>IF(F261="","",IFERROR(INT(F261-TODAY()),""))</f>
        <v/>
      </c>
      <c r="K261">
        <f>IF(J261="","",IF(J261&lt;0,"Expired",IF(J261&lt;=30,"Expiring Soon","Active")))</f>
        <v/>
      </c>
      <c r="L261" t="n">
        <v>1</v>
      </c>
      <c r="M261" t="inlineStr">
        <is>
          <t>Annual</t>
        </is>
      </c>
    </row>
    <row r="262">
      <c r="A262" s="14" t="inlineStr">
        <is>
          <t>MEPHENYNB07AL3309.pdf</t>
        </is>
      </c>
      <c r="B262" s="14" t="inlineStr">
        <is>
          <t>MEPHENYNB07AL3309</t>
        </is>
      </c>
      <c r="C262" s="14" t="inlineStr">
        <is>
          <t>Go Digit General Insurance Ltd.</t>
        </is>
      </c>
      <c r="D262" s="14" t="inlineStr">
        <is>
          <t>IA193519350</t>
        </is>
      </c>
      <c r="E262" s="14" t="inlineStr">
        <is>
          <t>2025-08-25</t>
        </is>
      </c>
      <c r="F262" s="14" t="inlineStr">
        <is>
          <t>2026-08-24</t>
        </is>
      </c>
      <c r="G262" s="14" t="inlineStr">
        <is>
          <t>No</t>
        </is>
      </c>
      <c r="H262" s="14" t="inlineStr">
        <is>
          <t>third-party only</t>
        </is>
      </c>
      <c r="I262" s="14" t="n">
        <v>772.5599999999999</v>
      </c>
      <c r="J262" s="14">
        <f>IF(F262="","",IFERROR(INT(F262-TODAY()),""))</f>
        <v/>
      </c>
      <c r="K262" s="14">
        <f>IF(J262="","",IF(J262&lt;0,"Expired",IF(J262&lt;=30,"Expiring Soon","Active")))</f>
        <v/>
      </c>
      <c r="L262" s="14" t="n">
        <v>1</v>
      </c>
      <c r="M262" s="14" t="inlineStr">
        <is>
          <t>Annual</t>
        </is>
      </c>
    </row>
    <row r="263">
      <c r="A263" t="inlineStr">
        <is>
          <t>MEPHENYNB07AL3319.pdf</t>
        </is>
      </c>
      <c r="B263" t="inlineStr">
        <is>
          <t>MEPHENYNB07AL3319</t>
        </is>
      </c>
      <c r="C263" t="inlineStr">
        <is>
          <t>Go Digit General Insurance Ltd.</t>
        </is>
      </c>
      <c r="D263" t="inlineStr">
        <is>
          <t>IA193519381</t>
        </is>
      </c>
      <c r="E263" t="inlineStr">
        <is>
          <t>2025-08-25</t>
        </is>
      </c>
      <c r="F263" t="inlineStr">
        <is>
          <t>2026-08-24</t>
        </is>
      </c>
      <c r="G263" t="inlineStr">
        <is>
          <t>No</t>
        </is>
      </c>
      <c r="H263" t="inlineStr">
        <is>
          <t>third-party only</t>
        </is>
      </c>
      <c r="I263" t="n">
        <v>772.5599999999999</v>
      </c>
      <c r="J263">
        <f>IF(F263="","",IFERROR(INT(F263-TODAY()),""))</f>
        <v/>
      </c>
      <c r="K263">
        <f>IF(J263="","",IF(J263&lt;0,"Expired",IF(J263&lt;=30,"Expiring Soon","Active")))</f>
        <v/>
      </c>
      <c r="L263" t="n">
        <v>1</v>
      </c>
      <c r="M263" t="inlineStr">
        <is>
          <t>Annual</t>
        </is>
      </c>
    </row>
    <row r="264">
      <c r="A264" s="14" t="inlineStr">
        <is>
          <t>MEPHENYNB07AL3330.pdf</t>
        </is>
      </c>
      <c r="B264" s="14" t="inlineStr">
        <is>
          <t>MEPHENYNB07AL3330</t>
        </is>
      </c>
      <c r="C264" s="14" t="inlineStr">
        <is>
          <t>Go Digit General Insurance Ltd.</t>
        </is>
      </c>
      <c r="D264" s="14" t="inlineStr">
        <is>
          <t>IA193519371</t>
        </is>
      </c>
      <c r="E264" s="14" t="inlineStr">
        <is>
          <t>2025-08-25</t>
        </is>
      </c>
      <c r="F264" s="14" t="inlineStr">
        <is>
          <t>2026-08-24</t>
        </is>
      </c>
      <c r="G264" s="14" t="inlineStr">
        <is>
          <t>No</t>
        </is>
      </c>
      <c r="H264" s="14" t="inlineStr">
        <is>
          <t>third-party only</t>
        </is>
      </c>
      <c r="I264" s="14" t="n">
        <v>772.5599999999999</v>
      </c>
      <c r="J264" s="14">
        <f>IF(F264="","",IFERROR(INT(F264-TODAY()),""))</f>
        <v/>
      </c>
      <c r="K264" s="14">
        <f>IF(J264="","",IF(J264&lt;0,"Expired",IF(J264&lt;=30,"Expiring Soon","Active")))</f>
        <v/>
      </c>
      <c r="L264" s="14" t="n">
        <v>1</v>
      </c>
      <c r="M264" s="14" t="inlineStr">
        <is>
          <t>Annual</t>
        </is>
      </c>
    </row>
    <row r="265">
      <c r="A265" t="inlineStr">
        <is>
          <t>MEPHENYNB07AL3338.pdf</t>
        </is>
      </c>
      <c r="B265" t="inlineStr">
        <is>
          <t>MEPHENYNB07AL3338</t>
        </is>
      </c>
      <c r="C265" t="inlineStr">
        <is>
          <t>Go Digit General Insurance Ltd.</t>
        </is>
      </c>
      <c r="D265" t="inlineStr">
        <is>
          <t>IA193519448</t>
        </is>
      </c>
      <c r="E265" t="inlineStr">
        <is>
          <t>2025-08-25</t>
        </is>
      </c>
      <c r="F265" t="inlineStr">
        <is>
          <t>2026-08-24</t>
        </is>
      </c>
      <c r="G265" t="inlineStr">
        <is>
          <t>No</t>
        </is>
      </c>
      <c r="H265" t="inlineStr">
        <is>
          <t>third-party only</t>
        </is>
      </c>
      <c r="I265" t="n">
        <v>772.5599999999999</v>
      </c>
      <c r="J265">
        <f>IF(F265="","",IFERROR(INT(F265-TODAY()),""))</f>
        <v/>
      </c>
      <c r="K265">
        <f>IF(J265="","",IF(J265&lt;0,"Expired",IF(J265&lt;=30,"Expiring Soon","Active")))</f>
        <v/>
      </c>
      <c r="L265" t="n">
        <v>1</v>
      </c>
      <c r="M265" t="inlineStr">
        <is>
          <t>Annual</t>
        </is>
      </c>
    </row>
    <row r="266">
      <c r="A266" s="14" t="inlineStr">
        <is>
          <t>MEPHENYNB07AL3341.pdf</t>
        </is>
      </c>
      <c r="B266" s="14" t="inlineStr">
        <is>
          <t>MEPHENYNB07AL3341</t>
        </is>
      </c>
      <c r="C266" s="14" t="inlineStr">
        <is>
          <t>Go Digit General Insurance Ltd.</t>
        </is>
      </c>
      <c r="D266" s="14" t="inlineStr">
        <is>
          <t>IA193519376</t>
        </is>
      </c>
      <c r="E266" s="14" t="inlineStr">
        <is>
          <t>2025-08-25</t>
        </is>
      </c>
      <c r="F266" s="14" t="inlineStr">
        <is>
          <t>2026-08-24</t>
        </is>
      </c>
      <c r="G266" s="14" t="inlineStr">
        <is>
          <t>No</t>
        </is>
      </c>
      <c r="H266" s="14" t="inlineStr">
        <is>
          <t>third-party only</t>
        </is>
      </c>
      <c r="I266" s="14" t="n">
        <v>772.5599999999999</v>
      </c>
      <c r="J266" s="14">
        <f>IF(F266="","",IFERROR(INT(F266-TODAY()),""))</f>
        <v/>
      </c>
      <c r="K266" s="14">
        <f>IF(J266="","",IF(J266&lt;0,"Expired",IF(J266&lt;=30,"Expiring Soon","Active")))</f>
        <v/>
      </c>
      <c r="L266" s="14" t="n">
        <v>1</v>
      </c>
      <c r="M266" s="14" t="inlineStr">
        <is>
          <t>Annual</t>
        </is>
      </c>
    </row>
    <row r="267">
      <c r="A267" t="inlineStr">
        <is>
          <t>MEPHENYNB07AL3347.pdf</t>
        </is>
      </c>
      <c r="B267" t="inlineStr">
        <is>
          <t>MEPHENYNB07AL3347</t>
        </is>
      </c>
      <c r="C267" t="inlineStr">
        <is>
          <t>Go Digit General Insurance Ltd.</t>
        </is>
      </c>
      <c r="D267" t="inlineStr">
        <is>
          <t>IA193519273</t>
        </is>
      </c>
      <c r="E267" t="inlineStr">
        <is>
          <t>2025-08-25</t>
        </is>
      </c>
      <c r="F267" t="inlineStr">
        <is>
          <t>2026-08-24</t>
        </is>
      </c>
      <c r="G267" t="inlineStr">
        <is>
          <t>No</t>
        </is>
      </c>
      <c r="H267" t="inlineStr">
        <is>
          <t>third-party only</t>
        </is>
      </c>
      <c r="I267" t="n">
        <v>772.5599999999999</v>
      </c>
      <c r="J267">
        <f>IF(F267="","",IFERROR(INT(F267-TODAY()),""))</f>
        <v/>
      </c>
      <c r="K267">
        <f>IF(J267="","",IF(J267&lt;0,"Expired",IF(J267&lt;=30,"Expiring Soon","Active")))</f>
        <v/>
      </c>
      <c r="L267" t="n">
        <v>1</v>
      </c>
      <c r="M267" t="inlineStr">
        <is>
          <t>Annual</t>
        </is>
      </c>
    </row>
    <row r="268">
      <c r="A268" s="14" t="inlineStr">
        <is>
          <t>MEPHENYNB07AL3356.pdf</t>
        </is>
      </c>
      <c r="B268" s="14" t="inlineStr">
        <is>
          <t>MEPHENYNB07AL3356</t>
        </is>
      </c>
      <c r="C268" s="14" t="inlineStr">
        <is>
          <t>Go Digit General Insurance Ltd.</t>
        </is>
      </c>
      <c r="D268" s="14" t="inlineStr">
        <is>
          <t>IA193519402</t>
        </is>
      </c>
      <c r="E268" s="14" t="inlineStr">
        <is>
          <t>2025-08-25</t>
        </is>
      </c>
      <c r="F268" s="14" t="inlineStr">
        <is>
          <t>2026-08-24</t>
        </is>
      </c>
      <c r="G268" s="14" t="inlineStr">
        <is>
          <t>No</t>
        </is>
      </c>
      <c r="H268" s="14" t="inlineStr">
        <is>
          <t>third-party only</t>
        </is>
      </c>
      <c r="I268" s="14" t="n">
        <v>772.5599999999999</v>
      </c>
      <c r="J268" s="14">
        <f>IF(F268="","",IFERROR(INT(F268-TODAY()),""))</f>
        <v/>
      </c>
      <c r="K268" s="14">
        <f>IF(J268="","",IF(J268&lt;0,"Expired",IF(J268&lt;=30,"Expiring Soon","Active")))</f>
        <v/>
      </c>
      <c r="L268" s="14" t="n">
        <v>1</v>
      </c>
      <c r="M268" s="14" t="inlineStr">
        <is>
          <t>Annual</t>
        </is>
      </c>
    </row>
    <row r="269">
      <c r="A269" t="inlineStr">
        <is>
          <t>MEPHENYNB07AL3362.pdf</t>
        </is>
      </c>
      <c r="B269" t="inlineStr">
        <is>
          <t>MEPHENYNB07AL3362</t>
        </is>
      </c>
      <c r="C269" t="inlineStr">
        <is>
          <t>Go Digit General Insurance Ltd.</t>
        </is>
      </c>
      <c r="D269" t="inlineStr">
        <is>
          <t>IA193519368</t>
        </is>
      </c>
      <c r="E269" t="inlineStr">
        <is>
          <t>2025-08-25</t>
        </is>
      </c>
      <c r="F269" t="inlineStr">
        <is>
          <t>2026-08-24</t>
        </is>
      </c>
      <c r="G269" t="inlineStr">
        <is>
          <t>No</t>
        </is>
      </c>
      <c r="H269" t="inlineStr">
        <is>
          <t>third-party only</t>
        </is>
      </c>
      <c r="I269" t="n">
        <v>772.5599999999999</v>
      </c>
      <c r="J269">
        <f>IF(F269="","",IFERROR(INT(F269-TODAY()),""))</f>
        <v/>
      </c>
      <c r="K269">
        <f>IF(J269="","",IF(J269&lt;0,"Expired",IF(J269&lt;=30,"Expiring Soon","Active")))</f>
        <v/>
      </c>
      <c r="L269" t="n">
        <v>1</v>
      </c>
      <c r="M269" t="inlineStr">
        <is>
          <t>Annual</t>
        </is>
      </c>
    </row>
    <row r="270">
      <c r="A270" s="14" t="inlineStr">
        <is>
          <t>MEPHENYNB07AL3375.pdf</t>
        </is>
      </c>
      <c r="B270" s="14" t="inlineStr">
        <is>
          <t>MEPHENYNB07AL3375</t>
        </is>
      </c>
      <c r="C270" s="14" t="inlineStr">
        <is>
          <t>Go Digit General Insurance Ltd.</t>
        </is>
      </c>
      <c r="D270" s="14" t="inlineStr">
        <is>
          <t>IA193519439</t>
        </is>
      </c>
      <c r="E270" s="14" t="inlineStr">
        <is>
          <t>2025-08-25</t>
        </is>
      </c>
      <c r="F270" s="14" t="inlineStr">
        <is>
          <t>2026-08-24</t>
        </is>
      </c>
      <c r="G270" s="14" t="inlineStr">
        <is>
          <t>No</t>
        </is>
      </c>
      <c r="H270" s="14" t="inlineStr">
        <is>
          <t>third-party only</t>
        </is>
      </c>
      <c r="I270" s="14" t="n">
        <v>772.5599999999999</v>
      </c>
      <c r="J270" s="14">
        <f>IF(F270="","",IFERROR(INT(F270-TODAY()),""))</f>
        <v/>
      </c>
      <c r="K270" s="14">
        <f>IF(J270="","",IF(J270&lt;0,"Expired",IF(J270&lt;=30,"Expiring Soon","Active")))</f>
        <v/>
      </c>
      <c r="L270" s="14" t="n">
        <v>1</v>
      </c>
      <c r="M270" s="14" t="inlineStr">
        <is>
          <t>Annual</t>
        </is>
      </c>
    </row>
    <row r="271">
      <c r="A271" t="inlineStr">
        <is>
          <t>MEPHENYNB07AL3412.pdf</t>
        </is>
      </c>
      <c r="B271" t="inlineStr">
        <is>
          <t>MEPHENYNB07AL3412</t>
        </is>
      </c>
      <c r="C271" t="inlineStr">
        <is>
          <t>Go Digit General Insurance Ltd.</t>
        </is>
      </c>
      <c r="D271" t="inlineStr">
        <is>
          <t>IA193519563</t>
        </is>
      </c>
      <c r="E271" t="inlineStr">
        <is>
          <t>2025-08-25</t>
        </is>
      </c>
      <c r="F271" t="inlineStr">
        <is>
          <t>2026-08-24</t>
        </is>
      </c>
      <c r="G271" t="inlineStr">
        <is>
          <t>No</t>
        </is>
      </c>
      <c r="H271" t="inlineStr">
        <is>
          <t>third-party only</t>
        </is>
      </c>
      <c r="I271" t="n">
        <v>772.5599999999999</v>
      </c>
      <c r="J271">
        <f>IF(F271="","",IFERROR(INT(F271-TODAY()),""))</f>
        <v/>
      </c>
      <c r="K271">
        <f>IF(J271="","",IF(J271&lt;0,"Expired",IF(J271&lt;=30,"Expiring Soon","Active")))</f>
        <v/>
      </c>
      <c r="L271" t="n">
        <v>1</v>
      </c>
      <c r="M271" t="inlineStr">
        <is>
          <t>Annual</t>
        </is>
      </c>
    </row>
    <row r="272">
      <c r="A272" s="14" t="inlineStr">
        <is>
          <t>MEPHENYNB07AL3421.pdf</t>
        </is>
      </c>
      <c r="B272" s="14" t="inlineStr">
        <is>
          <t>MEPHENYNB07AL3421</t>
        </is>
      </c>
      <c r="C272" s="14" t="inlineStr">
        <is>
          <t>Go Digit General Insurance Ltd.</t>
        </is>
      </c>
      <c r="D272" s="14" t="inlineStr">
        <is>
          <t>IA193519520</t>
        </is>
      </c>
      <c r="E272" s="14" t="inlineStr">
        <is>
          <t>2025-08-25</t>
        </is>
      </c>
      <c r="F272" s="14" t="inlineStr">
        <is>
          <t>2026-08-24</t>
        </is>
      </c>
      <c r="G272" s="14" t="inlineStr">
        <is>
          <t>No</t>
        </is>
      </c>
      <c r="H272" s="14" t="inlineStr">
        <is>
          <t>third-party only</t>
        </is>
      </c>
      <c r="I272" s="14" t="n">
        <v>772.5599999999999</v>
      </c>
      <c r="J272" s="14">
        <f>IF(F272="","",IFERROR(INT(F272-TODAY()),""))</f>
        <v/>
      </c>
      <c r="K272" s="14">
        <f>IF(J272="","",IF(J272&lt;0,"Expired",IF(J272&lt;=30,"Expiring Soon","Active")))</f>
        <v/>
      </c>
      <c r="L272" s="14" t="n">
        <v>1</v>
      </c>
      <c r="M272" s="14" t="inlineStr">
        <is>
          <t>Annual</t>
        </is>
      </c>
    </row>
    <row r="273">
      <c r="A273" t="inlineStr">
        <is>
          <t>MEPHENYNB07AL3426.pdf</t>
        </is>
      </c>
      <c r="B273" t="inlineStr">
        <is>
          <t>MEPHENYNB07AL3426</t>
        </is>
      </c>
      <c r="C273" t="inlineStr">
        <is>
          <t>Go Digit General Insurance Ltd.</t>
        </is>
      </c>
      <c r="D273" t="inlineStr">
        <is>
          <t>IA193519752</t>
        </is>
      </c>
      <c r="E273" t="inlineStr">
        <is>
          <t>2025-08-25</t>
        </is>
      </c>
      <c r="F273" t="inlineStr">
        <is>
          <t>2026-08-24</t>
        </is>
      </c>
      <c r="G273" t="inlineStr">
        <is>
          <t>No</t>
        </is>
      </c>
      <c r="H273" t="inlineStr">
        <is>
          <t>third-party only</t>
        </is>
      </c>
      <c r="I273" t="n">
        <v>772.5599999999999</v>
      </c>
      <c r="J273">
        <f>IF(F273="","",IFERROR(INT(F273-TODAY()),""))</f>
        <v/>
      </c>
      <c r="K273">
        <f>IF(J273="","",IF(J273&lt;0,"Expired",IF(J273&lt;=30,"Expiring Soon","Active")))</f>
        <v/>
      </c>
      <c r="L273" t="n">
        <v>1</v>
      </c>
      <c r="M273" t="inlineStr">
        <is>
          <t>Annual</t>
        </is>
      </c>
    </row>
    <row r="274">
      <c r="A274" s="14" t="inlineStr">
        <is>
          <t>MEPHENYNB07AL3429.pdf</t>
        </is>
      </c>
      <c r="B274" s="14" t="inlineStr">
        <is>
          <t>MEPHENYNB07AL3429</t>
        </is>
      </c>
      <c r="C274" s="14" t="inlineStr">
        <is>
          <t>Go Digit General Insurance Ltd.</t>
        </is>
      </c>
      <c r="D274" s="14" t="inlineStr">
        <is>
          <t>IA193519510</t>
        </is>
      </c>
      <c r="E274" s="14" t="inlineStr">
        <is>
          <t>2025-08-25</t>
        </is>
      </c>
      <c r="F274" s="14" t="inlineStr">
        <is>
          <t>2026-08-24</t>
        </is>
      </c>
      <c r="G274" s="14" t="inlineStr">
        <is>
          <t>No</t>
        </is>
      </c>
      <c r="H274" s="14" t="inlineStr">
        <is>
          <t>third-party only</t>
        </is>
      </c>
      <c r="I274" s="14" t="n">
        <v>772.5599999999999</v>
      </c>
      <c r="J274" s="14">
        <f>IF(F274="","",IFERROR(INT(F274-TODAY()),""))</f>
        <v/>
      </c>
      <c r="K274" s="14">
        <f>IF(J274="","",IF(J274&lt;0,"Expired",IF(J274&lt;=30,"Expiring Soon","Active")))</f>
        <v/>
      </c>
      <c r="L274" s="14" t="n">
        <v>1</v>
      </c>
      <c r="M274" s="14" t="inlineStr">
        <is>
          <t>Annual</t>
        </is>
      </c>
    </row>
    <row r="275">
      <c r="A275" t="inlineStr">
        <is>
          <t>MEPHENYNB07AL3454.pdf</t>
        </is>
      </c>
      <c r="B275" t="inlineStr">
        <is>
          <t>MEPHENYNB07AL3454</t>
        </is>
      </c>
      <c r="C275" t="inlineStr">
        <is>
          <t>Go Digit General Insurance Ltd.</t>
        </is>
      </c>
      <c r="D275" t="inlineStr">
        <is>
          <t>IA193519549</t>
        </is>
      </c>
      <c r="E275" t="inlineStr">
        <is>
          <t>2025-08-25</t>
        </is>
      </c>
      <c r="F275" t="inlineStr">
        <is>
          <t>2026-08-24</t>
        </is>
      </c>
      <c r="G275" t="inlineStr">
        <is>
          <t>No</t>
        </is>
      </c>
      <c r="H275" t="inlineStr">
        <is>
          <t>third-party only</t>
        </is>
      </c>
      <c r="I275" t="n">
        <v>772.5599999999999</v>
      </c>
      <c r="J275">
        <f>IF(F275="","",IFERROR(INT(F275-TODAY()),""))</f>
        <v/>
      </c>
      <c r="K275">
        <f>IF(J275="","",IF(J275&lt;0,"Expired",IF(J275&lt;=30,"Expiring Soon","Active")))</f>
        <v/>
      </c>
      <c r="L275" t="n">
        <v>1</v>
      </c>
      <c r="M275" t="inlineStr">
        <is>
          <t>Annual</t>
        </is>
      </c>
    </row>
    <row r="276">
      <c r="A276" s="14" t="inlineStr">
        <is>
          <t>MEPHENYNB07AL3458.pdf</t>
        </is>
      </c>
      <c r="B276" s="14" t="inlineStr">
        <is>
          <t>MEPHENYNB07AL3458</t>
        </is>
      </c>
      <c r="C276" s="14" t="inlineStr">
        <is>
          <t>Go Digit General Insurance Ltd.</t>
        </is>
      </c>
      <c r="D276" s="14" t="inlineStr">
        <is>
          <t>IA193519483</t>
        </is>
      </c>
      <c r="E276" s="14" t="inlineStr">
        <is>
          <t>2025-08-25</t>
        </is>
      </c>
      <c r="F276" s="14" t="inlineStr">
        <is>
          <t>2026-08-24</t>
        </is>
      </c>
      <c r="G276" s="14" t="inlineStr">
        <is>
          <t>No</t>
        </is>
      </c>
      <c r="H276" s="14" t="inlineStr">
        <is>
          <t>third-party only</t>
        </is>
      </c>
      <c r="I276" s="14" t="n">
        <v>772.5599999999999</v>
      </c>
      <c r="J276" s="14">
        <f>IF(F276="","",IFERROR(INT(F276-TODAY()),""))</f>
        <v/>
      </c>
      <c r="K276" s="14">
        <f>IF(J276="","",IF(J276&lt;0,"Expired",IF(J276&lt;=30,"Expiring Soon","Active")))</f>
        <v/>
      </c>
      <c r="L276" s="14" t="n">
        <v>1</v>
      </c>
      <c r="M276" s="14" t="inlineStr">
        <is>
          <t>Annual</t>
        </is>
      </c>
    </row>
    <row r="277">
      <c r="A277" t="inlineStr">
        <is>
          <t>MEPHENYNB07AL3462.pdf</t>
        </is>
      </c>
      <c r="B277" t="inlineStr">
        <is>
          <t>MEPHENYNB07AL3462</t>
        </is>
      </c>
      <c r="C277" t="inlineStr">
        <is>
          <t>Go Digit General Insurance Ltd.</t>
        </is>
      </c>
      <c r="D277" t="inlineStr">
        <is>
          <t>IA193519596</t>
        </is>
      </c>
      <c r="E277" t="inlineStr">
        <is>
          <t>2025-08-25</t>
        </is>
      </c>
      <c r="F277" t="inlineStr">
        <is>
          <t>2026-08-24</t>
        </is>
      </c>
      <c r="G277" t="inlineStr">
        <is>
          <t>No</t>
        </is>
      </c>
      <c r="H277" t="inlineStr">
        <is>
          <t>third-party only</t>
        </is>
      </c>
      <c r="I277" t="n">
        <v>772.5599999999999</v>
      </c>
      <c r="J277">
        <f>IF(F277="","",IFERROR(INT(F277-TODAY()),""))</f>
        <v/>
      </c>
      <c r="K277">
        <f>IF(J277="","",IF(J277&lt;0,"Expired",IF(J277&lt;=30,"Expiring Soon","Active")))</f>
        <v/>
      </c>
      <c r="L277" t="n">
        <v>1</v>
      </c>
      <c r="M277" t="inlineStr">
        <is>
          <t>Annual</t>
        </is>
      </c>
    </row>
    <row r="278">
      <c r="A278" s="14" t="inlineStr">
        <is>
          <t>MEPHENYNB07AL3467.pdf</t>
        </is>
      </c>
      <c r="B278" s="14" t="inlineStr">
        <is>
          <t>MEPHENYNB07AL3467</t>
        </is>
      </c>
      <c r="C278" s="14" t="inlineStr">
        <is>
          <t>Go Digit General Insurance Ltd.</t>
        </is>
      </c>
      <c r="D278" s="14" t="inlineStr">
        <is>
          <t>IA193519487</t>
        </is>
      </c>
      <c r="E278" s="14" t="inlineStr">
        <is>
          <t>2025-08-25</t>
        </is>
      </c>
      <c r="F278" s="14" t="inlineStr">
        <is>
          <t>2026-08-24</t>
        </is>
      </c>
      <c r="G278" s="14" t="inlineStr">
        <is>
          <t>No</t>
        </is>
      </c>
      <c r="H278" s="14" t="inlineStr">
        <is>
          <t>third-party only</t>
        </is>
      </c>
      <c r="I278" s="14" t="n">
        <v>772.5599999999999</v>
      </c>
      <c r="J278" s="14">
        <f>IF(F278="","",IFERROR(INT(F278-TODAY()),""))</f>
        <v/>
      </c>
      <c r="K278" s="14">
        <f>IF(J278="","",IF(J278&lt;0,"Expired",IF(J278&lt;=30,"Expiring Soon","Active")))</f>
        <v/>
      </c>
      <c r="L278" s="14" t="n">
        <v>1</v>
      </c>
      <c r="M278" s="14" t="inlineStr">
        <is>
          <t>Annual</t>
        </is>
      </c>
    </row>
    <row r="279">
      <c r="A279" t="inlineStr">
        <is>
          <t>MEPHENYNB07AL3473.pdf</t>
        </is>
      </c>
      <c r="B279" t="inlineStr">
        <is>
          <t>MEPHENYNB07AL3473</t>
        </is>
      </c>
      <c r="C279" t="inlineStr">
        <is>
          <t>Go Digit General Insurance Ltd.</t>
        </is>
      </c>
      <c r="D279" t="inlineStr">
        <is>
          <t>IA193519570</t>
        </is>
      </c>
      <c r="E279" t="inlineStr">
        <is>
          <t>2025-08-25</t>
        </is>
      </c>
      <c r="F279" t="inlineStr">
        <is>
          <t>2026-08-24</t>
        </is>
      </c>
      <c r="G279" t="inlineStr">
        <is>
          <t>No</t>
        </is>
      </c>
      <c r="H279" t="inlineStr">
        <is>
          <t>third-party only</t>
        </is>
      </c>
      <c r="I279" t="n">
        <v>772.5599999999999</v>
      </c>
      <c r="J279">
        <f>IF(F279="","",IFERROR(INT(F279-TODAY()),""))</f>
        <v/>
      </c>
      <c r="K279">
        <f>IF(J279="","",IF(J279&lt;0,"Expired",IF(J279&lt;=30,"Expiring Soon","Active")))</f>
        <v/>
      </c>
      <c r="L279" t="n">
        <v>1</v>
      </c>
      <c r="M279" t="inlineStr">
        <is>
          <t>Annual</t>
        </is>
      </c>
    </row>
    <row r="280">
      <c r="A280" s="14" t="inlineStr">
        <is>
          <t>MEPHENYNB07AL3477.pdf</t>
        </is>
      </c>
      <c r="B280" s="14" t="inlineStr">
        <is>
          <t>MEPHENYNB07AL3477</t>
        </is>
      </c>
      <c r="C280" s="14" t="inlineStr">
        <is>
          <t>Go Digit General Insurance Ltd.</t>
        </is>
      </c>
      <c r="D280" s="14" t="inlineStr">
        <is>
          <t>IA193519548</t>
        </is>
      </c>
      <c r="E280" s="14" t="inlineStr">
        <is>
          <t>2025-08-25</t>
        </is>
      </c>
      <c r="F280" s="14" t="inlineStr">
        <is>
          <t>2026-08-24</t>
        </is>
      </c>
      <c r="G280" s="14" t="inlineStr">
        <is>
          <t>No</t>
        </is>
      </c>
      <c r="H280" s="14" t="inlineStr">
        <is>
          <t>third-party only</t>
        </is>
      </c>
      <c r="I280" s="14" t="n">
        <v>772.5599999999999</v>
      </c>
      <c r="J280" s="14">
        <f>IF(F280="","",IFERROR(INT(F280-TODAY()),""))</f>
        <v/>
      </c>
      <c r="K280" s="14">
        <f>IF(J280="","",IF(J280&lt;0,"Expired",IF(J280&lt;=30,"Expiring Soon","Active")))</f>
        <v/>
      </c>
      <c r="L280" s="14" t="n">
        <v>1</v>
      </c>
      <c r="M280" s="14" t="inlineStr">
        <is>
          <t>Annual</t>
        </is>
      </c>
    </row>
    <row r="281">
      <c r="A281" t="inlineStr">
        <is>
          <t>MEPHENYNB07AL3480.pdf</t>
        </is>
      </c>
      <c r="B281" t="inlineStr">
        <is>
          <t>MEPHENYNB07AL3480</t>
        </is>
      </c>
      <c r="C281" t="inlineStr">
        <is>
          <t>Go Digit General Insurance Ltd.</t>
        </is>
      </c>
      <c r="D281" t="inlineStr">
        <is>
          <t>IA193519552</t>
        </is>
      </c>
      <c r="E281" t="inlineStr">
        <is>
          <t>2025-08-25</t>
        </is>
      </c>
      <c r="F281" t="inlineStr">
        <is>
          <t>2026-08-24</t>
        </is>
      </c>
      <c r="G281" t="inlineStr">
        <is>
          <t>No</t>
        </is>
      </c>
      <c r="H281" t="inlineStr">
        <is>
          <t>third-party only</t>
        </is>
      </c>
      <c r="I281" t="n">
        <v>772.5599999999999</v>
      </c>
      <c r="J281">
        <f>IF(F281="","",IFERROR(INT(F281-TODAY()),""))</f>
        <v/>
      </c>
      <c r="K281">
        <f>IF(J281="","",IF(J281&lt;0,"Expired",IF(J281&lt;=30,"Expiring Soon","Active")))</f>
        <v/>
      </c>
      <c r="L281" t="n">
        <v>1</v>
      </c>
      <c r="M281" t="inlineStr">
        <is>
          <t>Annual</t>
        </is>
      </c>
    </row>
    <row r="282">
      <c r="A282" s="14" t="inlineStr">
        <is>
          <t>MEPHENYNB07AL3488.pdf</t>
        </is>
      </c>
      <c r="B282" s="14" t="inlineStr">
        <is>
          <t>MEPHENYNB07AL3488</t>
        </is>
      </c>
      <c r="C282" s="14" t="inlineStr">
        <is>
          <t>Go Digit General Insurance Ltd.</t>
        </is>
      </c>
      <c r="D282" s="14" t="inlineStr">
        <is>
          <t>IA193519556</t>
        </is>
      </c>
      <c r="E282" s="14" t="inlineStr">
        <is>
          <t>2025-08-25</t>
        </is>
      </c>
      <c r="F282" s="14" t="inlineStr">
        <is>
          <t>2026-08-24</t>
        </is>
      </c>
      <c r="G282" s="14" t="inlineStr">
        <is>
          <t>No</t>
        </is>
      </c>
      <c r="H282" s="14" t="inlineStr">
        <is>
          <t>third-party only</t>
        </is>
      </c>
      <c r="I282" s="14" t="n">
        <v>772.5599999999999</v>
      </c>
      <c r="J282" s="14">
        <f>IF(F282="","",IFERROR(INT(F282-TODAY()),""))</f>
        <v/>
      </c>
      <c r="K282" s="14">
        <f>IF(J282="","",IF(J282&lt;0,"Expired",IF(J282&lt;=30,"Expiring Soon","Active")))</f>
        <v/>
      </c>
      <c r="L282" s="14" t="n">
        <v>1</v>
      </c>
      <c r="M282" s="14" t="inlineStr">
        <is>
          <t>Annual</t>
        </is>
      </c>
    </row>
    <row r="283">
      <c r="A283" t="inlineStr">
        <is>
          <t>MEPHENYNB07AL3498.pdf</t>
        </is>
      </c>
      <c r="B283" t="inlineStr">
        <is>
          <t>MEPHENYNB07AL3498</t>
        </is>
      </c>
      <c r="C283" t="inlineStr">
        <is>
          <t>Go Digit General Insurance Ltd.</t>
        </is>
      </c>
      <c r="D283" t="inlineStr">
        <is>
          <t>IA193519735</t>
        </is>
      </c>
      <c r="E283" t="inlineStr">
        <is>
          <t>2025-08-25</t>
        </is>
      </c>
      <c r="F283" t="inlineStr">
        <is>
          <t>2026-08-24</t>
        </is>
      </c>
      <c r="G283" t="inlineStr">
        <is>
          <t>No</t>
        </is>
      </c>
      <c r="H283" t="inlineStr">
        <is>
          <t>third-party only</t>
        </is>
      </c>
      <c r="I283" t="n">
        <v>772.5599999999999</v>
      </c>
      <c r="J283">
        <f>IF(F283="","",IFERROR(INT(F283-TODAY()),""))</f>
        <v/>
      </c>
      <c r="K283">
        <f>IF(J283="","",IF(J283&lt;0,"Expired",IF(J283&lt;=30,"Expiring Soon","Active")))</f>
        <v/>
      </c>
      <c r="L283" t="n">
        <v>1</v>
      </c>
      <c r="M283" t="inlineStr">
        <is>
          <t>Annual</t>
        </is>
      </c>
    </row>
    <row r="284">
      <c r="A284" s="14" t="inlineStr">
        <is>
          <t>MEPHENYNB07AL3510.pdf</t>
        </is>
      </c>
      <c r="B284" s="14" t="inlineStr">
        <is>
          <t>MEPHENYNB07AL3510</t>
        </is>
      </c>
      <c r="C284" s="14" t="inlineStr">
        <is>
          <t>Go Digit General Insurance Ltd.</t>
        </is>
      </c>
      <c r="D284" s="14" t="inlineStr">
        <is>
          <t>IA193519700</t>
        </is>
      </c>
      <c r="E284" s="14" t="inlineStr">
        <is>
          <t>2025-08-25</t>
        </is>
      </c>
      <c r="F284" s="14" t="inlineStr">
        <is>
          <t>2026-08-24</t>
        </is>
      </c>
      <c r="G284" s="14" t="inlineStr">
        <is>
          <t>No</t>
        </is>
      </c>
      <c r="H284" s="14" t="inlineStr">
        <is>
          <t>accident</t>
        </is>
      </c>
      <c r="I284" s="14" t="n">
        <v>772.5599999999999</v>
      </c>
      <c r="J284" s="14">
        <f>IF(F284="","",IFERROR(INT(F284-TODAY()),""))</f>
        <v/>
      </c>
      <c r="K284" s="14">
        <f>IF(J284="","",IF(J284&lt;0,"Expired",IF(J284&lt;=30,"Expiring Soon","Active")))</f>
        <v/>
      </c>
      <c r="L284" s="14" t="n">
        <v>1</v>
      </c>
      <c r="M284" s="14" t="inlineStr">
        <is>
          <t>Annual</t>
        </is>
      </c>
    </row>
    <row r="285">
      <c r="A285" t="inlineStr">
        <is>
          <t>MEPHENYNB07AL3527.pdf</t>
        </is>
      </c>
      <c r="B285" t="inlineStr">
        <is>
          <t>MEPHENYNB07AL3527</t>
        </is>
      </c>
      <c r="C285" t="inlineStr">
        <is>
          <t>Go Digit General Insurance Ltd.</t>
        </is>
      </c>
      <c r="D285" t="inlineStr">
        <is>
          <t>IA193519691</t>
        </is>
      </c>
      <c r="E285" t="inlineStr">
        <is>
          <t>2025-08-25</t>
        </is>
      </c>
      <c r="F285" t="inlineStr">
        <is>
          <t>2026-08-24</t>
        </is>
      </c>
      <c r="G285" t="inlineStr">
        <is>
          <t>No</t>
        </is>
      </c>
      <c r="H285" t="inlineStr">
        <is>
          <t>third-party only</t>
        </is>
      </c>
      <c r="I285" t="n">
        <v>772.5599999999999</v>
      </c>
      <c r="J285">
        <f>IF(F285="","",IFERROR(INT(F285-TODAY()),""))</f>
        <v/>
      </c>
      <c r="K285">
        <f>IF(J285="","",IF(J285&lt;0,"Expired",IF(J285&lt;=30,"Expiring Soon","Active")))</f>
        <v/>
      </c>
      <c r="L285" t="n">
        <v>1</v>
      </c>
      <c r="M285" t="inlineStr">
        <is>
          <t>Annual</t>
        </is>
      </c>
    </row>
    <row r="286">
      <c r="A286" s="14" t="inlineStr">
        <is>
          <t>MEPHENYNB07AL3548.pdf</t>
        </is>
      </c>
      <c r="B286" s="14" t="inlineStr">
        <is>
          <t>MEPHENYNB07AL3548</t>
        </is>
      </c>
      <c r="C286" s="14" t="inlineStr">
        <is>
          <t>Go Digit General Insurance Ltd.</t>
        </is>
      </c>
      <c r="D286" s="14" t="inlineStr">
        <is>
          <t>IA193519516</t>
        </is>
      </c>
      <c r="E286" s="14" t="inlineStr">
        <is>
          <t>2025-08-25</t>
        </is>
      </c>
      <c r="F286" s="14" t="inlineStr">
        <is>
          <t>2026-08-24</t>
        </is>
      </c>
      <c r="G286" s="14" t="inlineStr">
        <is>
          <t>No</t>
        </is>
      </c>
      <c r="H286" s="14" t="inlineStr">
        <is>
          <t>third-party only</t>
        </is>
      </c>
      <c r="I286" s="14" t="n">
        <v>1030.26</v>
      </c>
      <c r="J286" s="14">
        <f>IF(F286="","",IFERROR(INT(F286-TODAY()),""))</f>
        <v/>
      </c>
      <c r="K286" s="14">
        <f>IF(J286="","",IF(J286&lt;0,"Expired",IF(J286&lt;=30,"Expiring Soon","Active")))</f>
        <v/>
      </c>
      <c r="L286" s="14" t="n">
        <v>1</v>
      </c>
      <c r="M286" s="14" t="inlineStr">
        <is>
          <t>Annual</t>
        </is>
      </c>
    </row>
    <row r="287">
      <c r="A287" t="inlineStr">
        <is>
          <t>MH43CA2624.pdf</t>
        </is>
      </c>
      <c r="B287" t="inlineStr">
        <is>
          <t>MD9EMHDL23D217413</t>
        </is>
      </c>
      <c r="C287" t="inlineStr">
        <is>
          <t>ICICI Lombard General Insurance Company Limited</t>
        </is>
      </c>
      <c r="D287" t="inlineStr">
        <is>
          <t>3003/403692935/00/000</t>
        </is>
      </c>
      <c r="E287" t="inlineStr">
        <is>
          <t>2025-08-10</t>
        </is>
      </c>
      <c r="F287" t="inlineStr">
        <is>
          <t>2026-08-09</t>
        </is>
      </c>
      <c r="G287" t="inlineStr">
        <is>
          <t>Yes</t>
        </is>
      </c>
      <c r="H287" t="inlineStr">
        <is>
          <t>accident, fire, explosion, self-ignition, lightning, theft, burglary</t>
        </is>
      </c>
      <c r="I287" t="n">
        <v>6721</v>
      </c>
      <c r="J287">
        <f>IF(F287="","",IFERROR(INT(F287-TODAY()),""))</f>
        <v/>
      </c>
      <c r="K287">
        <f>IF(J287="","",IF(J287&lt;0,"Expired",IF(J287&lt;=30,"Expiring Soon","Active")))</f>
        <v/>
      </c>
      <c r="L287" t="n">
        <v>1</v>
      </c>
      <c r="M287" t="inlineStr">
        <is>
          <t>Annual</t>
        </is>
      </c>
    </row>
    <row r="288">
      <c r="A288" s="14" t="inlineStr">
        <is>
          <t>MH47CA7383.pdf</t>
        </is>
      </c>
      <c r="B288" s="14" t="inlineStr">
        <is>
          <t>P6DEC12CPCB011366</t>
        </is>
      </c>
      <c r="C288" s="14" t="inlineStr">
        <is>
          <t>ICICI Lombard General Insurance Company Limited</t>
        </is>
      </c>
      <c r="D288" s="14" t="inlineStr">
        <is>
          <t>3005/O/432463257/00/000</t>
        </is>
      </c>
      <c r="E288" s="14" t="inlineStr">
        <is>
          <t>2026-03-11</t>
        </is>
      </c>
      <c r="F288" s="14" t="inlineStr">
        <is>
          <t>2027-03-10</t>
        </is>
      </c>
      <c r="G288" s="14" t="inlineStr">
        <is>
          <t>Yes</t>
        </is>
      </c>
      <c r="H288" s="14" t="inlineStr">
        <is>
          <t>accident</t>
        </is>
      </c>
      <c r="I288" s="14" t="n">
        <v>670</v>
      </c>
      <c r="J288" s="14">
        <f>IF(F288="","",IFERROR(INT(F288-TODAY()),""))</f>
        <v/>
      </c>
      <c r="K288" s="14">
        <f>IF(J288="","",IF(J288&lt;0,"Expired",IF(J288&lt;=30,"Expiring Soon","Active")))</f>
        <v/>
      </c>
      <c r="L288" s="14" t="n">
        <v>1</v>
      </c>
      <c r="M288" s="14" t="inlineStr">
        <is>
          <t>Annual</t>
        </is>
      </c>
    </row>
    <row r="289">
      <c r="A289" t="inlineStr">
        <is>
          <t>P56HFFA0HZK014404.pdf</t>
        </is>
      </c>
      <c r="B289" t="inlineStr">
        <is>
          <t>P56HFFA0HZK014404</t>
        </is>
      </c>
      <c r="C289" t="inlineStr">
        <is>
          <t>Go Digit General Insurance Ltd.</t>
        </is>
      </c>
      <c r="D289" t="inlineStr">
        <is>
          <t>D202570678 / 15052025</t>
        </is>
      </c>
      <c r="E289" t="inlineStr">
        <is>
          <t>2025-05-19</t>
        </is>
      </c>
      <c r="F289" t="inlineStr">
        <is>
          <t>2026-05-18</t>
        </is>
      </c>
      <c r="G289" t="inlineStr">
        <is>
          <t>No</t>
        </is>
      </c>
      <c r="H289" t="inlineStr">
        <is>
          <t>third-party only</t>
        </is>
      </c>
      <c r="I289" t="n">
        <v>1834.29</v>
      </c>
      <c r="J289">
        <f>IF(F289="","",IFERROR(INT(F289-TODAY()),""))</f>
        <v/>
      </c>
      <c r="K289">
        <f>IF(J289="","",IF(J289&lt;0,"Expired",IF(J289&lt;=30,"Expiring Soon","Active")))</f>
        <v/>
      </c>
      <c r="L289" t="n">
        <v>1</v>
      </c>
      <c r="M289" t="inlineStr">
        <is>
          <t>Annual</t>
        </is>
      </c>
    </row>
    <row r="290">
      <c r="A290" s="14" t="inlineStr">
        <is>
          <t>P56HFFA0HZK014464.pdf</t>
        </is>
      </c>
      <c r="B290" s="14" t="inlineStr">
        <is>
          <t>P56HFFA0HZK014464</t>
        </is>
      </c>
      <c r="C290" s="14" t="inlineStr">
        <is>
          <t>Go Digit General Insurance Ltd.</t>
        </is>
      </c>
      <c r="D290" s="14" t="inlineStr">
        <is>
          <t>D202570839</t>
        </is>
      </c>
      <c r="E290" s="14" t="inlineStr">
        <is>
          <t>2025-05-19</t>
        </is>
      </c>
      <c r="F290" s="14" t="inlineStr">
        <is>
          <t>2026-05-18</t>
        </is>
      </c>
      <c r="G290" s="14" t="inlineStr">
        <is>
          <t>No</t>
        </is>
      </c>
      <c r="H290" s="14" t="inlineStr">
        <is>
          <t>third-party only</t>
        </is>
      </c>
      <c r="I290" s="14" t="n">
        <v>1834.29</v>
      </c>
      <c r="J290" s="14">
        <f>IF(F290="","",IFERROR(INT(F290-TODAY()),""))</f>
        <v/>
      </c>
      <c r="K290" s="14">
        <f>IF(J290="","",IF(J290&lt;0,"Expired",IF(J290&lt;=30,"Expiring Soon","Active")))</f>
        <v/>
      </c>
      <c r="L290" s="14" t="n">
        <v>1</v>
      </c>
      <c r="M290" s="14" t="inlineStr">
        <is>
          <t>Annual</t>
        </is>
      </c>
    </row>
    <row r="291">
      <c r="A291" t="inlineStr">
        <is>
          <t>P56HFFA0HZK014476.pdf</t>
        </is>
      </c>
      <c r="B291" t="inlineStr">
        <is>
          <t>P56HFFA0HZK014476</t>
        </is>
      </c>
      <c r="C291" t="inlineStr">
        <is>
          <t>Go Digit General Insurance Ltd.</t>
        </is>
      </c>
      <c r="D291" t="inlineStr">
        <is>
          <t>D202570814 / 15052025</t>
        </is>
      </c>
      <c r="E291" t="inlineStr">
        <is>
          <t>2025-05-18</t>
        </is>
      </c>
      <c r="F291" t="inlineStr">
        <is>
          <t>2026-05-17</t>
        </is>
      </c>
      <c r="G291" t="inlineStr">
        <is>
          <t>No</t>
        </is>
      </c>
      <c r="H291" t="inlineStr">
        <is>
          <t>third-party only</t>
        </is>
      </c>
      <c r="I291" t="n">
        <v>1834.29</v>
      </c>
      <c r="J291">
        <f>IF(F291="","",IFERROR(INT(F291-TODAY()),""))</f>
        <v/>
      </c>
      <c r="K291">
        <f>IF(J291="","",IF(J291&lt;0,"Expired",IF(J291&lt;=30,"Expiring Soon","Active")))</f>
        <v/>
      </c>
      <c r="L291" t="n">
        <v>1</v>
      </c>
      <c r="M291" t="inlineStr">
        <is>
          <t>Annual</t>
        </is>
      </c>
    </row>
    <row r="292">
      <c r="A292" s="14" t="inlineStr">
        <is>
          <t>P56HFFA0HZK014503.pdf</t>
        </is>
      </c>
      <c r="B292" s="14" t="inlineStr">
        <is>
          <t>P56HFFA0HZK014503</t>
        </is>
      </c>
      <c r="C292" s="14" t="inlineStr">
        <is>
          <t>Go Digit General Insurance Ltd.</t>
        </is>
      </c>
      <c r="D292" s="14" t="inlineStr">
        <is>
          <t>D202570760</t>
        </is>
      </c>
      <c r="E292" s="14" t="inlineStr">
        <is>
          <t>2025-05-19</t>
        </is>
      </c>
      <c r="F292" s="14" t="inlineStr">
        <is>
          <t>2026-05-18</t>
        </is>
      </c>
      <c r="G292" s="14" t="inlineStr">
        <is>
          <t>No</t>
        </is>
      </c>
      <c r="H292" s="14" t="inlineStr">
        <is>
          <t>third-party only</t>
        </is>
      </c>
      <c r="I292" s="14" t="n">
        <v>2115.93</v>
      </c>
      <c r="J292" s="14">
        <f>IF(F292="","",IFERROR(INT(F292-TODAY()),""))</f>
        <v/>
      </c>
      <c r="K292" s="14">
        <f>IF(J292="","",IF(J292&lt;0,"Expired",IF(J292&lt;=30,"Expiring Soon","Active")))</f>
        <v/>
      </c>
      <c r="L292" s="14" t="n">
        <v>1</v>
      </c>
      <c r="M292" s="14" t="inlineStr">
        <is>
          <t>Annual</t>
        </is>
      </c>
    </row>
    <row r="293">
      <c r="A293" t="inlineStr">
        <is>
          <t>P56HFFA0HZK014507.pdf</t>
        </is>
      </c>
      <c r="B293" t="inlineStr">
        <is>
          <t>P56HFFA0HZK014507</t>
        </is>
      </c>
      <c r="C293" t="inlineStr">
        <is>
          <t>Go Digit General Insurance Ltd.</t>
        </is>
      </c>
      <c r="D293" t="inlineStr">
        <is>
          <t>D202570869 / 15052025</t>
        </is>
      </c>
      <c r="E293" t="inlineStr">
        <is>
          <t>2025-05-19</t>
        </is>
      </c>
      <c r="F293" t="inlineStr">
        <is>
          <t>2026-05-18</t>
        </is>
      </c>
      <c r="G293" t="inlineStr">
        <is>
          <t>No</t>
        </is>
      </c>
      <c r="H293" t="inlineStr">
        <is>
          <t>third-party only</t>
        </is>
      </c>
      <c r="I293" t="n">
        <v>1834.29</v>
      </c>
      <c r="J293">
        <f>IF(F293="","",IFERROR(INT(F293-TODAY()),""))</f>
        <v/>
      </c>
      <c r="K293">
        <f>IF(J293="","",IF(J293&lt;0,"Expired",IF(J293&lt;=30,"Expiring Soon","Active")))</f>
        <v/>
      </c>
      <c r="L293" t="n">
        <v>1</v>
      </c>
      <c r="M293" t="inlineStr">
        <is>
          <t>Annual</t>
        </is>
      </c>
    </row>
    <row r="294">
      <c r="A294" s="14" t="inlineStr">
        <is>
          <t>P56HFFA0ZZK014542.pdf</t>
        </is>
      </c>
      <c r="B294" s="14" t="inlineStr">
        <is>
          <t>P56HFFA0ZZK014542</t>
        </is>
      </c>
      <c r="C294" s="14" t="inlineStr">
        <is>
          <t>Go Digit General Insurance Ltd.</t>
        </is>
      </c>
      <c r="D294" s="14" t="inlineStr">
        <is>
          <t>D202570950 / 15052025</t>
        </is>
      </c>
      <c r="E294" s="14" t="inlineStr">
        <is>
          <t>2025-05-19</t>
        </is>
      </c>
      <c r="F294" s="14" t="inlineStr">
        <is>
          <t>2026-05-18</t>
        </is>
      </c>
      <c r="G294" s="14" t="inlineStr">
        <is>
          <t>No</t>
        </is>
      </c>
      <c r="H294" s="14" t="inlineStr">
        <is>
          <t>third-party only</t>
        </is>
      </c>
      <c r="I294" s="14" t="n">
        <v>1834.29</v>
      </c>
      <c r="J294" s="14">
        <f>IF(F294="","",IFERROR(INT(F294-TODAY()),""))</f>
        <v/>
      </c>
      <c r="K294" s="14">
        <f>IF(J294="","",IF(J294&lt;0,"Expired",IF(J294&lt;=30,"Expiring Soon","Active")))</f>
        <v/>
      </c>
      <c r="L294" s="14" t="n">
        <v>1</v>
      </c>
      <c r="M294" s="14" t="inlineStr">
        <is>
          <t>Annual</t>
        </is>
      </c>
    </row>
    <row r="295">
      <c r="A295" t="inlineStr">
        <is>
          <t>P56HFFA0ZZK014550.pdf</t>
        </is>
      </c>
      <c r="B295" t="inlineStr">
        <is>
          <t>P56HFFA0ZZK014550</t>
        </is>
      </c>
      <c r="C295" t="inlineStr">
        <is>
          <t>Go Digit General Insurance Ltd.</t>
        </is>
      </c>
      <c r="D295" t="inlineStr">
        <is>
          <t>D202570928 / 15052025</t>
        </is>
      </c>
      <c r="E295" t="inlineStr">
        <is>
          <t>2025-05-19</t>
        </is>
      </c>
      <c r="F295" t="inlineStr">
        <is>
          <t>2026-05-18</t>
        </is>
      </c>
      <c r="G295" t="inlineStr">
        <is>
          <t>No</t>
        </is>
      </c>
      <c r="H295" t="inlineStr">
        <is>
          <t>third-party only</t>
        </is>
      </c>
      <c r="I295" t="n">
        <v>1834.29</v>
      </c>
      <c r="J295">
        <f>IF(F295="","",IFERROR(INT(F295-TODAY()),""))</f>
        <v/>
      </c>
      <c r="K295">
        <f>IF(J295="","",IF(J295&lt;0,"Expired",IF(J295&lt;=30,"Expiring Soon","Active")))</f>
        <v/>
      </c>
      <c r="L295" t="n">
        <v>1</v>
      </c>
      <c r="M295" t="inlineStr">
        <is>
          <t>Annual</t>
        </is>
      </c>
    </row>
    <row r="296">
      <c r="A296" s="14" t="inlineStr">
        <is>
          <t>P56HFFA0ZZK014553.pdf</t>
        </is>
      </c>
      <c r="B296" s="14" t="inlineStr">
        <is>
          <t>P56HFFA0ZZK014553</t>
        </is>
      </c>
      <c r="C296" s="14" t="inlineStr">
        <is>
          <t>Go Digit General Insurance Ltd.</t>
        </is>
      </c>
      <c r="D296" s="14" t="inlineStr">
        <is>
          <t>D202570954 / 15052025</t>
        </is>
      </c>
      <c r="E296" s="14" t="inlineStr">
        <is>
          <t>2025-05-19</t>
        </is>
      </c>
      <c r="F296" s="14" t="inlineStr">
        <is>
          <t>2026-05-18</t>
        </is>
      </c>
      <c r="G296" s="14" t="inlineStr">
        <is>
          <t>No</t>
        </is>
      </c>
      <c r="H296" s="14" t="inlineStr">
        <is>
          <t>third-party only</t>
        </is>
      </c>
      <c r="I296" s="14" t="n">
        <v>1834.29</v>
      </c>
      <c r="J296" s="14">
        <f>IF(F296="","",IFERROR(INT(F296-TODAY()),""))</f>
        <v/>
      </c>
      <c r="K296" s="14">
        <f>IF(J296="","",IF(J296&lt;0,"Expired",IF(J296&lt;=30,"Expiring Soon","Active")))</f>
        <v/>
      </c>
      <c r="L296" s="14" t="n">
        <v>1</v>
      </c>
      <c r="M296" s="14" t="inlineStr">
        <is>
          <t>Annual</t>
        </is>
      </c>
    </row>
    <row r="297">
      <c r="A297" t="inlineStr">
        <is>
          <t>P56HFFA0ZZK014670.pdf</t>
        </is>
      </c>
      <c r="B297" t="inlineStr">
        <is>
          <t>P56HFFA0ZZK014670</t>
        </is>
      </c>
      <c r="C297" t="inlineStr">
        <is>
          <t>Go Digit General Insurance Ltd.</t>
        </is>
      </c>
      <c r="D297" t="inlineStr">
        <is>
          <t>D202570964 / 15052025</t>
        </is>
      </c>
      <c r="E297" t="inlineStr">
        <is>
          <t>2025-05-19</t>
        </is>
      </c>
      <c r="F297" t="inlineStr">
        <is>
          <t>2026-05-18</t>
        </is>
      </c>
      <c r="G297" t="inlineStr">
        <is>
          <t>No</t>
        </is>
      </c>
      <c r="H297" t="inlineStr">
        <is>
          <t>third-party only</t>
        </is>
      </c>
      <c r="I297" t="n">
        <v>1834.29</v>
      </c>
      <c r="J297">
        <f>IF(F297="","",IFERROR(INT(F297-TODAY()),""))</f>
        <v/>
      </c>
      <c r="K297">
        <f>IF(J297="","",IF(J297&lt;0,"Expired",IF(J297&lt;=30,"Expiring Soon","Active")))</f>
        <v/>
      </c>
      <c r="L297" t="n">
        <v>1</v>
      </c>
      <c r="M297" t="inlineStr">
        <is>
          <t>Annual</t>
        </is>
      </c>
    </row>
    <row r="298">
      <c r="A298" s="14" t="inlineStr">
        <is>
          <t>P5FAA4UE9RRKA0260.pdf</t>
        </is>
      </c>
      <c r="B298" s="14" t="inlineStr">
        <is>
          <t>P5FAA4UE9RRKA0260</t>
        </is>
      </c>
      <c r="C298" s="14" t="inlineStr">
        <is>
          <t>Royal Sundaram General Insurance Co. Limited</t>
        </is>
      </c>
      <c r="D298" s="14" t="inlineStr">
        <is>
          <t>VGC1397571000100</t>
        </is>
      </c>
      <c r="E298" s="14" t="inlineStr">
        <is>
          <t>2025-08-21</t>
        </is>
      </c>
      <c r="F298" s="14" t="inlineStr">
        <is>
          <t>2026-08-20</t>
        </is>
      </c>
      <c r="G298" s="14" t="inlineStr">
        <is>
          <t>Yes</t>
        </is>
      </c>
      <c r="H298" s="14" t="inlineStr">
        <is>
          <t>accident</t>
        </is>
      </c>
      <c r="I298" s="14" t="n">
        <v>31370</v>
      </c>
      <c r="J298" s="14">
        <f>IF(F298="","",IFERROR(INT(F298-TODAY()),""))</f>
        <v/>
      </c>
      <c r="K298" s="14">
        <f>IF(J298="","",IF(J298&lt;0,"Expired",IF(J298&lt;=30,"Expiring Soon","Active")))</f>
        <v/>
      </c>
      <c r="L298" s="14" t="n">
        <v>1</v>
      </c>
      <c r="M298" s="14" t="inlineStr">
        <is>
          <t>Annual</t>
        </is>
      </c>
    </row>
    <row r="299">
      <c r="A299" t="inlineStr">
        <is>
          <t>P6DED152PDA000101.pdf</t>
        </is>
      </c>
      <c r="B299" t="inlineStr">
        <is>
          <t>P6DED152PDA000101</t>
        </is>
      </c>
      <c r="C299" t="inlineStr">
        <is>
          <t>Go Digit General Insurance Ltd.</t>
        </is>
      </c>
      <c r="D299" t="inlineStr">
        <is>
          <t>D202160505</t>
        </is>
      </c>
      <c r="E299" t="inlineStr">
        <is>
          <t>2025-05-13</t>
        </is>
      </c>
      <c r="F299" t="inlineStr">
        <is>
          <t>2030-05-12</t>
        </is>
      </c>
      <c r="G299" t="inlineStr">
        <is>
          <t>No</t>
        </is>
      </c>
      <c r="H299" t="inlineStr">
        <is>
          <t>third-party only</t>
        </is>
      </c>
      <c r="I299" t="n">
        <v>5226.02</v>
      </c>
      <c r="J299">
        <f>IF(F299="","",IFERROR(INT(F299-TODAY()),""))</f>
        <v/>
      </c>
      <c r="K299">
        <f>IF(J299="","",IF(J299&lt;0,"Expired",IF(J299&lt;=30,"Expiring Soon","Active")))</f>
        <v/>
      </c>
      <c r="L299" t="n">
        <v>5</v>
      </c>
      <c r="M299" t="inlineStr">
        <is>
          <t>Multi-Year</t>
        </is>
      </c>
    </row>
    <row r="300">
      <c r="A300" s="14" t="inlineStr">
        <is>
          <t>P6DED152PDA000103.pdf</t>
        </is>
      </c>
      <c r="B300" s="14" t="inlineStr">
        <is>
          <t>P6DED152PDA000103</t>
        </is>
      </c>
      <c r="C300" s="14" t="inlineStr">
        <is>
          <t>Go Digit General Insurance Ltd.</t>
        </is>
      </c>
      <c r="D300" s="14" t="inlineStr">
        <is>
          <t>D202160511</t>
        </is>
      </c>
      <c r="E300" s="14" t="inlineStr">
        <is>
          <t>2025-05-13</t>
        </is>
      </c>
      <c r="F300" s="14" t="inlineStr">
        <is>
          <t>2030-05-12</t>
        </is>
      </c>
      <c r="G300" s="14" t="inlineStr">
        <is>
          <t>No</t>
        </is>
      </c>
      <c r="H300" s="14" t="inlineStr">
        <is>
          <t>third-party only</t>
        </is>
      </c>
      <c r="I300" s="14" t="n">
        <v>5226.02</v>
      </c>
      <c r="J300" s="14">
        <f>IF(F300="","",IFERROR(INT(F300-TODAY()),""))</f>
        <v/>
      </c>
      <c r="K300" s="14">
        <f>IF(J300="","",IF(J300&lt;0,"Expired",IF(J300&lt;=30,"Expiring Soon","Active")))</f>
        <v/>
      </c>
      <c r="L300" s="14" t="n">
        <v>5</v>
      </c>
      <c r="M300" s="14" t="inlineStr">
        <is>
          <t>Multi-Year</t>
        </is>
      </c>
    </row>
    <row r="301">
      <c r="A301" t="inlineStr">
        <is>
          <t>P6DED152PDA000106.pdf</t>
        </is>
      </c>
      <c r="B301" t="inlineStr">
        <is>
          <t>P6DED152PDA000106</t>
        </is>
      </c>
      <c r="C301" t="inlineStr">
        <is>
          <t>Go Digit General Insurance Ltd.</t>
        </is>
      </c>
      <c r="D301" t="inlineStr">
        <is>
          <t>D202160520</t>
        </is>
      </c>
      <c r="E301" t="inlineStr">
        <is>
          <t>2025-05-13</t>
        </is>
      </c>
      <c r="F301" t="inlineStr">
        <is>
          <t>2030-05-12</t>
        </is>
      </c>
      <c r="G301" t="inlineStr">
        <is>
          <t>No</t>
        </is>
      </c>
      <c r="H301" t="inlineStr">
        <is>
          <t>third-party only</t>
        </is>
      </c>
      <c r="I301" t="n">
        <v>5226.02</v>
      </c>
      <c r="J301">
        <f>IF(F301="","",IFERROR(INT(F301-TODAY()),""))</f>
        <v/>
      </c>
      <c r="K301">
        <f>IF(J301="","",IF(J301&lt;0,"Expired",IF(J301&lt;=30,"Expiring Soon","Active")))</f>
        <v/>
      </c>
      <c r="L301" t="n">
        <v>5</v>
      </c>
      <c r="M301" t="inlineStr">
        <is>
          <t>Multi-Year</t>
        </is>
      </c>
    </row>
    <row r="302">
      <c r="A302" s="14" t="inlineStr">
        <is>
          <t>P6DED152PDA000109.pdf</t>
        </is>
      </c>
      <c r="B302" s="14" t="inlineStr">
        <is>
          <t>P6DED152PDA000109</t>
        </is>
      </c>
      <c r="C302" s="14" t="inlineStr">
        <is>
          <t>Go Digit General Insurance Ltd.</t>
        </is>
      </c>
      <c r="D302" s="14" t="inlineStr">
        <is>
          <t>D202160528</t>
        </is>
      </c>
      <c r="E302" s="14" t="inlineStr">
        <is>
          <t>2025-05-13</t>
        </is>
      </c>
      <c r="F302" s="14" t="inlineStr">
        <is>
          <t>2026-05-12</t>
        </is>
      </c>
      <c r="G302" s="14" t="inlineStr">
        <is>
          <t>No</t>
        </is>
      </c>
      <c r="H302" s="14" t="inlineStr">
        <is>
          <t>accident, theft</t>
        </is>
      </c>
      <c r="I302" s="14" t="n">
        <v>5226.02</v>
      </c>
      <c r="J302" s="14">
        <f>IF(F302="","",IFERROR(INT(F302-TODAY()),""))</f>
        <v/>
      </c>
      <c r="K302" s="14">
        <f>IF(J302="","",IF(J302&lt;0,"Expired",IF(J302&lt;=30,"Expiring Soon","Active")))</f>
        <v/>
      </c>
      <c r="L302" s="14" t="n">
        <v>1</v>
      </c>
      <c r="M302" s="14" t="inlineStr">
        <is>
          <t>Annual</t>
        </is>
      </c>
    </row>
    <row r="303">
      <c r="A303" t="inlineStr">
        <is>
          <t>P6DED152PDA000112.pdf</t>
        </is>
      </c>
      <c r="B303" t="inlineStr">
        <is>
          <t>P6DED152PDA000112</t>
        </is>
      </c>
      <c r="C303" t="inlineStr">
        <is>
          <t>Go Digit General Insurance Ltd.</t>
        </is>
      </c>
      <c r="D303" t="inlineStr">
        <is>
          <t>D202160533</t>
        </is>
      </c>
      <c r="E303" t="inlineStr">
        <is>
          <t>2025-05-13</t>
        </is>
      </c>
      <c r="F303" t="inlineStr">
        <is>
          <t>2026-05-12</t>
        </is>
      </c>
      <c r="G303" t="inlineStr">
        <is>
          <t>No</t>
        </is>
      </c>
      <c r="H303" t="inlineStr">
        <is>
          <t>accident, theft</t>
        </is>
      </c>
      <c r="I303" t="n">
        <v>5226.02</v>
      </c>
      <c r="J303">
        <f>IF(F303="","",IFERROR(INT(F303-TODAY()),""))</f>
        <v/>
      </c>
      <c r="K303">
        <f>IF(J303="","",IF(J303&lt;0,"Expired",IF(J303&lt;=30,"Expiring Soon","Active")))</f>
        <v/>
      </c>
      <c r="L303" t="n">
        <v>1</v>
      </c>
      <c r="M303" t="inlineStr">
        <is>
          <t>Annual</t>
        </is>
      </c>
    </row>
    <row r="304">
      <c r="A304" s="14" t="inlineStr">
        <is>
          <t>P6DED152PDA000114.pdf</t>
        </is>
      </c>
      <c r="B304" s="14" t="inlineStr">
        <is>
          <t>P6DED152PDA000114</t>
        </is>
      </c>
      <c r="C304" s="14" t="inlineStr">
        <is>
          <t>Go Digit General Insurance Ltd.</t>
        </is>
      </c>
      <c r="D304" s="14" t="inlineStr">
        <is>
          <t>D202160538</t>
        </is>
      </c>
      <c r="E304" s="14" t="inlineStr">
        <is>
          <t>2025-05-13</t>
        </is>
      </c>
      <c r="F304" s="14" t="inlineStr">
        <is>
          <t>2030-05-12</t>
        </is>
      </c>
      <c r="G304" s="14" t="inlineStr">
        <is>
          <t>No</t>
        </is>
      </c>
      <c r="H304" s="14" t="inlineStr">
        <is>
          <t>third-party only</t>
        </is>
      </c>
      <c r="I304" s="14" t="n">
        <v>5226.02</v>
      </c>
      <c r="J304" s="14">
        <f>IF(F304="","",IFERROR(INT(F304-TODAY()),""))</f>
        <v/>
      </c>
      <c r="K304" s="14">
        <f>IF(J304="","",IF(J304&lt;0,"Expired",IF(J304&lt;=30,"Expiring Soon","Active")))</f>
        <v/>
      </c>
      <c r="L304" s="14" t="n">
        <v>5</v>
      </c>
      <c r="M304" s="14" t="inlineStr">
        <is>
          <t>Multi-Year</t>
        </is>
      </c>
    </row>
    <row r="305">
      <c r="A305" t="inlineStr">
        <is>
          <t>P6DED152PDA000117.pdf</t>
        </is>
      </c>
      <c r="B305" t="inlineStr">
        <is>
          <t>P6DED152PDA000117</t>
        </is>
      </c>
      <c r="C305" t="inlineStr">
        <is>
          <t>Go Digit General Insurance Ltd.</t>
        </is>
      </c>
      <c r="D305" t="inlineStr">
        <is>
          <t>D202160546</t>
        </is>
      </c>
      <c r="E305" t="inlineStr">
        <is>
          <t>2025-05-13</t>
        </is>
      </c>
      <c r="F305" t="inlineStr">
        <is>
          <t>2030-05-12</t>
        </is>
      </c>
      <c r="G305" t="inlineStr">
        <is>
          <t>No</t>
        </is>
      </c>
      <c r="H305" t="inlineStr">
        <is>
          <t>third-party only</t>
        </is>
      </c>
      <c r="I305" t="n">
        <v>5226.02</v>
      </c>
      <c r="J305">
        <f>IF(F305="","",IFERROR(INT(F305-TODAY()),""))</f>
        <v/>
      </c>
      <c r="K305">
        <f>IF(J305="","",IF(J305&lt;0,"Expired",IF(J305&lt;=30,"Expiring Soon","Active")))</f>
        <v/>
      </c>
      <c r="L305" t="n">
        <v>5</v>
      </c>
      <c r="M305" t="inlineStr">
        <is>
          <t>Multi-Year</t>
        </is>
      </c>
    </row>
    <row r="306">
      <c r="A306" s="14" t="inlineStr">
        <is>
          <t>P6DED152PDA000120.pdf</t>
        </is>
      </c>
      <c r="B306" s="14" t="inlineStr">
        <is>
          <t>P6DED152PDA000120</t>
        </is>
      </c>
      <c r="C306" s="14" t="inlineStr">
        <is>
          <t>Go Digit General Insurance Ltd.</t>
        </is>
      </c>
      <c r="D306" s="14" t="inlineStr">
        <is>
          <t>D202160551</t>
        </is>
      </c>
      <c r="E306" s="14" t="inlineStr">
        <is>
          <t>2025-05-13</t>
        </is>
      </c>
      <c r="F306" s="14" t="inlineStr">
        <is>
          <t>2026-05-12</t>
        </is>
      </c>
      <c r="G306" s="14" t="inlineStr">
        <is>
          <t>No</t>
        </is>
      </c>
      <c r="H306" s="14" t="inlineStr">
        <is>
          <t>accident, theft</t>
        </is>
      </c>
      <c r="I306" s="14" t="n">
        <v>5226.02</v>
      </c>
      <c r="J306" s="14">
        <f>IF(F306="","",IFERROR(INT(F306-TODAY()),""))</f>
        <v/>
      </c>
      <c r="K306" s="14">
        <f>IF(J306="","",IF(J306&lt;0,"Expired",IF(J306&lt;=30,"Expiring Soon","Active")))</f>
        <v/>
      </c>
      <c r="L306" s="14" t="n">
        <v>1</v>
      </c>
      <c r="M306" s="14" t="inlineStr">
        <is>
          <t>Annual</t>
        </is>
      </c>
    </row>
    <row r="307">
      <c r="A307" t="inlineStr">
        <is>
          <t>P6DED152PDA000123.pdf</t>
        </is>
      </c>
      <c r="B307" t="inlineStr">
        <is>
          <t>P6DED152PDA000123</t>
        </is>
      </c>
      <c r="C307" t="inlineStr">
        <is>
          <t>Go Digit General Insurance Ltd.</t>
        </is>
      </c>
      <c r="D307" t="inlineStr">
        <is>
          <t>D202160563</t>
        </is>
      </c>
      <c r="E307" t="inlineStr">
        <is>
          <t>2025-05-13</t>
        </is>
      </c>
      <c r="F307" t="inlineStr">
        <is>
          <t>2030-05-12</t>
        </is>
      </c>
      <c r="G307" t="inlineStr">
        <is>
          <t>No</t>
        </is>
      </c>
      <c r="H307" t="inlineStr">
        <is>
          <t>third-party only</t>
        </is>
      </c>
      <c r="I307" t="n">
        <v>6166.7</v>
      </c>
      <c r="J307">
        <f>IF(F307="","",IFERROR(INT(F307-TODAY()),""))</f>
        <v/>
      </c>
      <c r="K307">
        <f>IF(J307="","",IF(J307&lt;0,"Expired",IF(J307&lt;=30,"Expiring Soon","Active")))</f>
        <v/>
      </c>
      <c r="L307" t="n">
        <v>5</v>
      </c>
      <c r="M307" t="inlineStr">
        <is>
          <t>Multi-Year</t>
        </is>
      </c>
    </row>
    <row r="308">
      <c r="A308" s="14" t="inlineStr">
        <is>
          <t>P6DED152PDA000126.pdf</t>
        </is>
      </c>
      <c r="B308" s="14" t="inlineStr">
        <is>
          <t>P6DED152PDA000126</t>
        </is>
      </c>
      <c r="C308" s="14" t="inlineStr">
        <is>
          <t>Go Digit General Insurance Ltd.</t>
        </is>
      </c>
      <c r="D308" s="14" t="inlineStr">
        <is>
          <t>D202160570</t>
        </is>
      </c>
      <c r="E308" s="14" t="inlineStr">
        <is>
          <t>2025-05-13</t>
        </is>
      </c>
      <c r="F308" s="14" t="inlineStr">
        <is>
          <t>2030-05-12</t>
        </is>
      </c>
      <c r="G308" s="14" t="inlineStr">
        <is>
          <t>No</t>
        </is>
      </c>
      <c r="H308" s="14" t="inlineStr">
        <is>
          <t>third-party only</t>
        </is>
      </c>
      <c r="I308" s="14" t="n">
        <v>5226.02</v>
      </c>
      <c r="J308" s="14">
        <f>IF(F308="","",IFERROR(INT(F308-TODAY()),""))</f>
        <v/>
      </c>
      <c r="K308" s="14">
        <f>IF(J308="","",IF(J308&lt;0,"Expired",IF(J308&lt;=30,"Expiring Soon","Active")))</f>
        <v/>
      </c>
      <c r="L308" s="14" t="n">
        <v>5</v>
      </c>
      <c r="M308" s="14" t="inlineStr">
        <is>
          <t>Multi-Year</t>
        </is>
      </c>
    </row>
    <row r="309">
      <c r="A309" t="inlineStr">
        <is>
          <t>P6DED152PDA000128.pdf</t>
        </is>
      </c>
      <c r="B309" t="inlineStr">
        <is>
          <t>P6DED152PDA000128</t>
        </is>
      </c>
      <c r="C309" t="inlineStr">
        <is>
          <t>Go Digit General Insurance Ltd.</t>
        </is>
      </c>
      <c r="D309" t="inlineStr">
        <is>
          <t>D202160574</t>
        </is>
      </c>
      <c r="E309" t="inlineStr">
        <is>
          <t>2025-05-13</t>
        </is>
      </c>
      <c r="F309" t="inlineStr">
        <is>
          <t>2030-05-12</t>
        </is>
      </c>
      <c r="G309" t="inlineStr">
        <is>
          <t>No</t>
        </is>
      </c>
      <c r="H309" t="inlineStr">
        <is>
          <t>third-party only</t>
        </is>
      </c>
      <c r="I309" t="n">
        <v>5226.02</v>
      </c>
      <c r="J309">
        <f>IF(F309="","",IFERROR(INT(F309-TODAY()),""))</f>
        <v/>
      </c>
      <c r="K309">
        <f>IF(J309="","",IF(J309&lt;0,"Expired",IF(J309&lt;=30,"Expiring Soon","Active")))</f>
        <v/>
      </c>
      <c r="L309" t="n">
        <v>5</v>
      </c>
      <c r="M309" t="inlineStr">
        <is>
          <t>Multi-Year</t>
        </is>
      </c>
    </row>
    <row r="310">
      <c r="A310" s="14" t="inlineStr">
        <is>
          <t>P6DED152PDA000132.pdf</t>
        </is>
      </c>
      <c r="B310" s="14" t="inlineStr">
        <is>
          <t>P6DED152PDA000132</t>
        </is>
      </c>
      <c r="C310" s="14" t="inlineStr">
        <is>
          <t>Go Digit General Insurance Ltd.</t>
        </is>
      </c>
      <c r="D310" s="14" t="inlineStr">
        <is>
          <t>D202160743</t>
        </is>
      </c>
      <c r="E310" s="14" t="inlineStr">
        <is>
          <t>2025-05-13</t>
        </is>
      </c>
      <c r="F310" s="14" t="inlineStr">
        <is>
          <t>2030-05-12</t>
        </is>
      </c>
      <c r="G310" s="14" t="inlineStr">
        <is>
          <t>No</t>
        </is>
      </c>
      <c r="H310" s="14" t="inlineStr">
        <is>
          <t>third-party only</t>
        </is>
      </c>
      <c r="I310" s="14" t="n">
        <v>6166.7</v>
      </c>
      <c r="J310" s="14">
        <f>IF(F310="","",IFERROR(INT(F310-TODAY()),""))</f>
        <v/>
      </c>
      <c r="K310" s="14">
        <f>IF(J310="","",IF(J310&lt;0,"Expired",IF(J310&lt;=30,"Expiring Soon","Active")))</f>
        <v/>
      </c>
      <c r="L310" s="14" t="n">
        <v>5</v>
      </c>
      <c r="M310" s="14" t="inlineStr">
        <is>
          <t>Multi-Year</t>
        </is>
      </c>
    </row>
    <row r="311">
      <c r="A311" t="inlineStr">
        <is>
          <t>S M ENTERPRISES_Insurance.pdf</t>
        </is>
      </c>
      <c r="B311" t="inlineStr">
        <is>
          <t>P7GL2511410000283</t>
        </is>
      </c>
      <c r="C311" t="inlineStr">
        <is>
          <t>The New India Assurance Co. Ltd.</t>
        </is>
      </c>
      <c r="D311" t="inlineStr">
        <is>
          <t>71040031250300037496</t>
        </is>
      </c>
      <c r="E311" t="inlineStr">
        <is>
          <t>2025-12-27</t>
        </is>
      </c>
      <c r="F311" t="inlineStr">
        <is>
          <t>2026-12-26</t>
        </is>
      </c>
      <c r="G311" t="inlineStr">
        <is>
          <t>Yes</t>
        </is>
      </c>
      <c r="H311" t="inlineStr">
        <is>
          <t>accident, fire, explosion, self-ignition, lightning</t>
        </is>
      </c>
      <c r="I311" t="n">
        <v>33650</v>
      </c>
      <c r="J311">
        <f>IF(F311="","",IFERROR(INT(F311-TODAY()),""))</f>
        <v/>
      </c>
      <c r="K311">
        <f>IF(J311="","",IF(J311&lt;0,"Expired",IF(J311&lt;=30,"Expiring Soon","Active")))</f>
        <v/>
      </c>
      <c r="L311" t="n">
        <v>1</v>
      </c>
      <c r="M311" t="inlineStr">
        <is>
          <t>Annual</t>
        </is>
      </c>
    </row>
    <row r="312">
      <c r="A312" s="14" t="inlineStr">
        <is>
          <t>TS08UK4958.pdf</t>
        </is>
      </c>
      <c r="B312" s="14" t="inlineStr">
        <is>
          <t>MD2B88300PWF00322</t>
        </is>
      </c>
      <c r="C312" s="14" t="inlineStr">
        <is>
          <t>ICICI Lombard General Insurance Company Limited</t>
        </is>
      </c>
      <c r="D312" s="14" t="inlineStr">
        <is>
          <t>3003/415736388/00/000</t>
        </is>
      </c>
      <c r="E312" s="14" t="inlineStr">
        <is>
          <t>2025-11-09</t>
        </is>
      </c>
      <c r="F312" s="14" t="inlineStr">
        <is>
          <t>2026-11-08</t>
        </is>
      </c>
      <c r="G312" s="14" t="inlineStr">
        <is>
          <t>Yes</t>
        </is>
      </c>
      <c r="H312" s="14" t="inlineStr">
        <is>
          <t>accident, fire, explosion, self-ignition, lightning, theft, burglary</t>
        </is>
      </c>
      <c r="I312" s="14" t="n">
        <v>6973</v>
      </c>
      <c r="J312" s="14">
        <f>IF(F312="","",IFERROR(INT(F312-TODAY()),""))</f>
        <v/>
      </c>
      <c r="K312" s="14">
        <f>IF(J312="","",IF(J312&lt;0,"Expired",IF(J312&lt;=30,"Expiring Soon","Active")))</f>
        <v/>
      </c>
      <c r="L312" s="14" t="n">
        <v>1</v>
      </c>
      <c r="M312" s="14" t="inlineStr">
        <is>
          <t>Annual</t>
        </is>
      </c>
    </row>
    <row r="313">
      <c r="A313" t="inlineStr">
        <is>
          <t>TS08UL7547.pdf</t>
        </is>
      </c>
      <c r="B313" t="inlineStr">
        <is>
          <t>P6R3NAACZPH000771</t>
        </is>
      </c>
      <c r="C313" t="inlineStr">
        <is>
          <t>ICICI Lombard General Insurance Company Limited</t>
        </is>
      </c>
      <c r="D313" t="inlineStr">
        <is>
          <t>3003/410892863/00/000</t>
        </is>
      </c>
      <c r="E313" t="inlineStr">
        <is>
          <t>2025-10-06</t>
        </is>
      </c>
      <c r="F313" t="inlineStr">
        <is>
          <t>2026-10-05</t>
        </is>
      </c>
      <c r="G313" t="inlineStr">
        <is>
          <t>Yes</t>
        </is>
      </c>
      <c r="H313" t="inlineStr">
        <is>
          <t>accident, fire, explosion, self-ignition, lightning, theft, burglary</t>
        </is>
      </c>
      <c r="I313" t="n">
        <v>6664</v>
      </c>
      <c r="J313">
        <f>IF(F313="","",IFERROR(INT(F313-TODAY()),""))</f>
        <v/>
      </c>
      <c r="K313">
        <f>IF(J313="","",IF(J313&lt;0,"Expired",IF(J313&lt;=30,"Expiring Soon","Active")))</f>
        <v/>
      </c>
      <c r="L313" t="n">
        <v>1</v>
      </c>
      <c r="M313" t="inlineStr">
        <is>
          <t>Annual</t>
        </is>
      </c>
    </row>
    <row r="314">
      <c r="A314" s="14" t="inlineStr">
        <is>
          <t>UP16PT5111.pdf</t>
        </is>
      </c>
      <c r="B314" s="14" t="inlineStr">
        <is>
          <t>MBX0009UD3K463515</t>
        </is>
      </c>
      <c r="C314" s="14" t="inlineStr">
        <is>
          <t>ICICI Lombard General Insurance Company Limited</t>
        </is>
      </c>
      <c r="D314" s="14" t="inlineStr">
        <is>
          <t>3003/420413124/00/000</t>
        </is>
      </c>
      <c r="E314" s="14" t="inlineStr">
        <is>
          <t>2025-12-31</t>
        </is>
      </c>
      <c r="F314" s="14" t="inlineStr">
        <is>
          <t>2026-12-30</t>
        </is>
      </c>
      <c r="G314" s="14" t="inlineStr">
        <is>
          <t>Yes</t>
        </is>
      </c>
      <c r="H314" s="14" t="inlineStr">
        <is>
          <t>accident, fire, explosion, self-ignition, lightning, theft, burglary</t>
        </is>
      </c>
      <c r="I314" s="14" t="n">
        <v>6346</v>
      </c>
      <c r="J314" s="14">
        <f>IF(F314="","",IFERROR(INT(F314-TODAY()),""))</f>
        <v/>
      </c>
      <c r="K314" s="14">
        <f>IF(J314="","",IF(J314&lt;0,"Expired",IF(J314&lt;=30,"Expiring Soon","Active")))</f>
        <v/>
      </c>
      <c r="L314" s="14" t="n">
        <v>1</v>
      </c>
      <c r="M314" s="14" t="inlineStr">
        <is>
          <t>Annual</t>
        </is>
      </c>
    </row>
    <row r="315">
      <c r="A315" t="inlineStr">
        <is>
          <t>UP16PT5113.pdf</t>
        </is>
      </c>
      <c r="B315" t="inlineStr">
        <is>
          <t>MBX0009UD3K463516</t>
        </is>
      </c>
      <c r="C315" t="inlineStr">
        <is>
          <t>ICICI Lombard General Insurance Company Limited</t>
        </is>
      </c>
      <c r="D315" t="inlineStr">
        <is>
          <t>3003/420413611/00/000</t>
        </is>
      </c>
      <c r="E315" t="inlineStr">
        <is>
          <t>2025-12-31</t>
        </is>
      </c>
      <c r="F315" t="inlineStr">
        <is>
          <t>2026-12-30</t>
        </is>
      </c>
      <c r="G315" t="inlineStr">
        <is>
          <t>Yes</t>
        </is>
      </c>
      <c r="H315" t="inlineStr">
        <is>
          <t>accident, fire, explosion, self-ignition, lightning, theft, burglary, flood, cyclone, storm, earthquake, landslide, riot, strike, terrorism, malicious act, transit</t>
        </is>
      </c>
      <c r="I315" t="n">
        <v>6346</v>
      </c>
      <c r="J315">
        <f>IF(F315="","",IFERROR(INT(F315-TODAY()),""))</f>
        <v/>
      </c>
      <c r="K315">
        <f>IF(J315="","",IF(J315&lt;0,"Expired",IF(J315&lt;=30,"Expiring Soon","Active")))</f>
        <v/>
      </c>
      <c r="L315" t="n">
        <v>1</v>
      </c>
      <c r="M315" t="inlineStr">
        <is>
          <t>Annual</t>
        </is>
      </c>
    </row>
    <row r="316">
      <c r="A316" s="14" t="inlineStr">
        <is>
          <t>UP16PT5115.pdf</t>
        </is>
      </c>
      <c r="B316" s="14" t="inlineStr">
        <is>
          <t>MBX0009UD3K463514</t>
        </is>
      </c>
      <c r="C316" s="14" t="inlineStr">
        <is>
          <t>ICICI Lombard General Insurance Company Limited</t>
        </is>
      </c>
      <c r="D316" s="14" t="inlineStr">
        <is>
          <t>3003/420411508/00/000</t>
        </is>
      </c>
      <c r="E316" s="14" t="inlineStr">
        <is>
          <t>2025-12-31</t>
        </is>
      </c>
      <c r="F316" s="14" t="inlineStr">
        <is>
          <t>2026-12-30</t>
        </is>
      </c>
      <c r="G316" s="14" t="inlineStr">
        <is>
          <t>Yes</t>
        </is>
      </c>
      <c r="H316" s="14" t="inlineStr">
        <is>
          <t>accident, fire, theft</t>
        </is>
      </c>
      <c r="I316" s="14" t="n">
        <v>6346</v>
      </c>
      <c r="J316" s="14">
        <f>IF(F316="","",IFERROR(INT(F316-TODAY()),""))</f>
        <v/>
      </c>
      <c r="K316" s="14">
        <f>IF(J316="","",IF(J316&lt;0,"Expired",IF(J316&lt;=30,"Expiring Soon","Active")))</f>
        <v/>
      </c>
      <c r="L316" s="14" t="n">
        <v>1</v>
      </c>
      <c r="M316" s="14" t="inlineStr">
        <is>
          <t>Annual</t>
        </is>
      </c>
    </row>
  </sheetData>
  <autoFilter ref="A1:M316"/>
  <conditionalFormatting sqref="K2:K316">
    <cfRule type="cellIs" priority="1" operator="equal" dxfId="0">
      <formula>"Active"</formula>
    </cfRule>
    <cfRule type="cellIs" priority="2" operator="equal" dxfId="1">
      <formula>"Expiring Soon"</formula>
    </cfRule>
    <cfRule type="cellIs" priority="3" operator="equal" dxfId="2">
      <formula>"Expired"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source_file</t>
        </is>
      </c>
      <c r="B1" s="13" t="inlineStr">
        <is>
          <t>vehicle_chassis_number</t>
        </is>
      </c>
      <c r="C1" s="13" t="inlineStr">
        <is>
          <t>insurance_company_name</t>
        </is>
      </c>
      <c r="D1" s="13" t="inlineStr">
        <is>
          <t>policy_number</t>
        </is>
      </c>
      <c r="E1" s="13" t="inlineStr">
        <is>
          <t>od_start_date</t>
        </is>
      </c>
      <c r="F1" s="13" t="inlineStr">
        <is>
          <t>od_end_date</t>
        </is>
      </c>
      <c r="G1" s="13" t="inlineStr">
        <is>
          <t>fire_covered</t>
        </is>
      </c>
      <c r="H1" s="13" t="inlineStr">
        <is>
          <t>damage_coverage</t>
        </is>
      </c>
      <c r="I1" s="13" t="inlineStr">
        <is>
          <t>premium_amount</t>
        </is>
      </c>
      <c r="J1" s="13" t="inlineStr">
        <is>
          <t>days_left</t>
        </is>
      </c>
      <c r="K1" s="13" t="inlineStr">
        <is>
          <t>status</t>
        </is>
      </c>
      <c r="L1" s="13" t="inlineStr">
        <is>
          <t>policy_duration</t>
        </is>
      </c>
      <c r="M1" s="13" t="inlineStr">
        <is>
          <t>policy_type</t>
        </is>
      </c>
    </row>
    <row r="2">
      <c r="A2" t="inlineStr">
        <is>
          <t>M2TSH2E12S2D01827.pdf</t>
        </is>
      </c>
      <c r="B2" t="inlineStr">
        <is>
          <t>M2TSH2E12S2D01827</t>
        </is>
      </c>
      <c r="C2" t="inlineStr">
        <is>
          <t>Magma General Insurance Limited</t>
        </is>
      </c>
      <c r="D2" t="inlineStr">
        <is>
          <t>P0026100023/4103/100468</t>
        </is>
      </c>
      <c r="E2" t="inlineStr">
        <is>
          <t>2025-05-10</t>
        </is>
      </c>
      <c r="F2" t="inlineStr">
        <is>
          <t>2026-05-09</t>
        </is>
      </c>
      <c r="G2" t="inlineStr">
        <is>
          <t>Yes</t>
        </is>
      </c>
      <c r="H2" t="inlineStr">
        <is>
          <t>accident, fire, explosion, theft</t>
        </is>
      </c>
      <c r="I2" t="n">
        <v>6990</v>
      </c>
      <c r="J2" t="n">
        <v>19</v>
      </c>
      <c r="K2" t="inlineStr">
        <is>
          <t>Expiring Soon</t>
        </is>
      </c>
      <c r="L2" t="n">
        <v>1</v>
      </c>
      <c r="M2" t="inlineStr">
        <is>
          <t>Annual</t>
        </is>
      </c>
    </row>
    <row r="3">
      <c r="A3" t="inlineStr">
        <is>
          <t>P6DED152PDA000120.pdf</t>
        </is>
      </c>
      <c r="B3" t="inlineStr">
        <is>
          <t>P6DED152PDA000120</t>
        </is>
      </c>
      <c r="C3" t="inlineStr">
        <is>
          <t>Go Digit General Insurance Ltd.</t>
        </is>
      </c>
      <c r="D3" t="inlineStr">
        <is>
          <t>D202160551</t>
        </is>
      </c>
      <c r="E3" t="inlineStr">
        <is>
          <t>2025-05-13</t>
        </is>
      </c>
      <c r="F3" t="inlineStr">
        <is>
          <t>2026-05-12</t>
        </is>
      </c>
      <c r="G3" t="inlineStr">
        <is>
          <t>No</t>
        </is>
      </c>
      <c r="H3" t="inlineStr">
        <is>
          <t>accident, theft</t>
        </is>
      </c>
      <c r="I3" t="n">
        <v>5226.02</v>
      </c>
      <c r="J3" t="n">
        <v>22</v>
      </c>
      <c r="K3" t="inlineStr">
        <is>
          <t>Expiring Soon</t>
        </is>
      </c>
      <c r="L3" t="n">
        <v>1</v>
      </c>
      <c r="M3" t="inlineStr">
        <is>
          <t>Annual</t>
        </is>
      </c>
    </row>
    <row r="4">
      <c r="A4" t="inlineStr">
        <is>
          <t>P6DED152PDA000109.pdf</t>
        </is>
      </c>
      <c r="B4" t="inlineStr">
        <is>
          <t>P6DED152PDA000109</t>
        </is>
      </c>
      <c r="C4" t="inlineStr">
        <is>
          <t>Go Digit General Insurance Ltd.</t>
        </is>
      </c>
      <c r="D4" t="inlineStr">
        <is>
          <t>D202160528</t>
        </is>
      </c>
      <c r="E4" t="inlineStr">
        <is>
          <t>2025-05-13</t>
        </is>
      </c>
      <c r="F4" t="inlineStr">
        <is>
          <t>2026-05-12</t>
        </is>
      </c>
      <c r="G4" t="inlineStr">
        <is>
          <t>No</t>
        </is>
      </c>
      <c r="H4" t="inlineStr">
        <is>
          <t>accident, theft</t>
        </is>
      </c>
      <c r="I4" t="n">
        <v>5226.02</v>
      </c>
      <c r="J4" t="n">
        <v>22</v>
      </c>
      <c r="K4" t="inlineStr">
        <is>
          <t>Expiring Soon</t>
        </is>
      </c>
      <c r="L4" t="n">
        <v>1</v>
      </c>
      <c r="M4" t="inlineStr">
        <is>
          <t>Annual</t>
        </is>
      </c>
    </row>
    <row r="5">
      <c r="A5" t="inlineStr">
        <is>
          <t>P6DED152PDA000112.pdf</t>
        </is>
      </c>
      <c r="B5" t="inlineStr">
        <is>
          <t>P6DED152PDA000112</t>
        </is>
      </c>
      <c r="C5" t="inlineStr">
        <is>
          <t>Go Digit General Insurance Ltd.</t>
        </is>
      </c>
      <c r="D5" t="inlineStr">
        <is>
          <t>D202160533</t>
        </is>
      </c>
      <c r="E5" t="inlineStr">
        <is>
          <t>2025-05-13</t>
        </is>
      </c>
      <c r="F5" t="inlineStr">
        <is>
          <t>2026-05-12</t>
        </is>
      </c>
      <c r="G5" t="inlineStr">
        <is>
          <t>No</t>
        </is>
      </c>
      <c r="H5" t="inlineStr">
        <is>
          <t>accident, theft</t>
        </is>
      </c>
      <c r="I5" t="n">
        <v>5226.02</v>
      </c>
      <c r="J5" t="n">
        <v>22</v>
      </c>
      <c r="K5" t="inlineStr">
        <is>
          <t>Expiring Soon</t>
        </is>
      </c>
      <c r="L5" t="n">
        <v>1</v>
      </c>
      <c r="M5" t="inlineStr">
        <is>
          <t>Annual</t>
        </is>
      </c>
    </row>
    <row r="6">
      <c r="A6" t="inlineStr">
        <is>
          <t>P56HFFA0HZK014476.pdf</t>
        </is>
      </c>
      <c r="B6" t="inlineStr">
        <is>
          <t>P56HFFA0HZK014476</t>
        </is>
      </c>
      <c r="C6" t="inlineStr">
        <is>
          <t>Go Digit General Insurance Ltd.</t>
        </is>
      </c>
      <c r="D6" t="inlineStr">
        <is>
          <t>D202570814 / 15052025</t>
        </is>
      </c>
      <c r="E6" t="inlineStr">
        <is>
          <t>2025-05-18</t>
        </is>
      </c>
      <c r="F6" t="inlineStr">
        <is>
          <t>2026-05-17</t>
        </is>
      </c>
      <c r="G6" t="inlineStr">
        <is>
          <t>No</t>
        </is>
      </c>
      <c r="H6" t="inlineStr">
        <is>
          <t>third-party only</t>
        </is>
      </c>
      <c r="I6" t="n">
        <v>1834.29</v>
      </c>
      <c r="J6" t="n">
        <v>27</v>
      </c>
      <c r="K6" t="inlineStr">
        <is>
          <t>Expiring Soon</t>
        </is>
      </c>
      <c r="L6" t="n">
        <v>1</v>
      </c>
      <c r="M6" t="inlineStr">
        <is>
          <t>Annual</t>
        </is>
      </c>
    </row>
    <row r="7">
      <c r="A7" t="inlineStr">
        <is>
          <t>P56HFFA0HZK014503.pdf</t>
        </is>
      </c>
      <c r="B7" t="inlineStr">
        <is>
          <t>P56HFFA0HZK014503</t>
        </is>
      </c>
      <c r="C7" t="inlineStr">
        <is>
          <t>Go Digit General Insurance Ltd.</t>
        </is>
      </c>
      <c r="D7" t="inlineStr">
        <is>
          <t>D202570760</t>
        </is>
      </c>
      <c r="E7" t="inlineStr">
        <is>
          <t>2025-05-19</t>
        </is>
      </c>
      <c r="F7" t="inlineStr">
        <is>
          <t>2026-05-18</t>
        </is>
      </c>
      <c r="G7" t="inlineStr">
        <is>
          <t>No</t>
        </is>
      </c>
      <c r="H7" t="inlineStr">
        <is>
          <t>third-party only</t>
        </is>
      </c>
      <c r="I7" t="n">
        <v>2115.93</v>
      </c>
      <c r="J7" t="n">
        <v>28</v>
      </c>
      <c r="K7" t="inlineStr">
        <is>
          <t>Expiring Soon</t>
        </is>
      </c>
      <c r="L7" t="n">
        <v>1</v>
      </c>
      <c r="M7" t="inlineStr">
        <is>
          <t>Annual</t>
        </is>
      </c>
    </row>
    <row r="8">
      <c r="A8" t="inlineStr">
        <is>
          <t>P56HFFA0HZK014404.pdf</t>
        </is>
      </c>
      <c r="B8" t="inlineStr">
        <is>
          <t>P56HFFA0HZK014404</t>
        </is>
      </c>
      <c r="C8" t="inlineStr">
        <is>
          <t>Go Digit General Insurance Ltd.</t>
        </is>
      </c>
      <c r="D8" t="inlineStr">
        <is>
          <t>D202570678 / 15052025</t>
        </is>
      </c>
      <c r="E8" t="inlineStr">
        <is>
          <t>2025-05-19</t>
        </is>
      </c>
      <c r="F8" t="inlineStr">
        <is>
          <t>2026-05-18</t>
        </is>
      </c>
      <c r="G8" t="inlineStr">
        <is>
          <t>No</t>
        </is>
      </c>
      <c r="H8" t="inlineStr">
        <is>
          <t>third-party only</t>
        </is>
      </c>
      <c r="I8" t="n">
        <v>1834.29</v>
      </c>
      <c r="J8" t="n">
        <v>28</v>
      </c>
      <c r="K8" t="inlineStr">
        <is>
          <t>Expiring Soon</t>
        </is>
      </c>
      <c r="L8" t="n">
        <v>1</v>
      </c>
      <c r="M8" t="inlineStr">
        <is>
          <t>Annual</t>
        </is>
      </c>
    </row>
    <row r="9">
      <c r="A9" t="inlineStr">
        <is>
          <t>P56HFFA0HZK014464.pdf</t>
        </is>
      </c>
      <c r="B9" t="inlineStr">
        <is>
          <t>P56HFFA0HZK014464</t>
        </is>
      </c>
      <c r="C9" t="inlineStr">
        <is>
          <t>Go Digit General Insurance Ltd.</t>
        </is>
      </c>
      <c r="D9" t="inlineStr">
        <is>
          <t>D202570839</t>
        </is>
      </c>
      <c r="E9" t="inlineStr">
        <is>
          <t>2025-05-19</t>
        </is>
      </c>
      <c r="F9" t="inlineStr">
        <is>
          <t>2026-05-18</t>
        </is>
      </c>
      <c r="G9" t="inlineStr">
        <is>
          <t>No</t>
        </is>
      </c>
      <c r="H9" t="inlineStr">
        <is>
          <t>third-party only</t>
        </is>
      </c>
      <c r="I9" t="n">
        <v>1834.29</v>
      </c>
      <c r="J9" t="n">
        <v>28</v>
      </c>
      <c r="K9" t="inlineStr">
        <is>
          <t>Expiring Soon</t>
        </is>
      </c>
      <c r="L9" t="n">
        <v>1</v>
      </c>
      <c r="M9" t="inlineStr">
        <is>
          <t>Annual</t>
        </is>
      </c>
    </row>
    <row r="10">
      <c r="A10" t="inlineStr">
        <is>
          <t>P56HFFA0ZZK014550.pdf</t>
        </is>
      </c>
      <c r="B10" t="inlineStr">
        <is>
          <t>P56HFFA0ZZK014550</t>
        </is>
      </c>
      <c r="C10" t="inlineStr">
        <is>
          <t>Go Digit General Insurance Ltd.</t>
        </is>
      </c>
      <c r="D10" t="inlineStr">
        <is>
          <t>D202570928 / 15052025</t>
        </is>
      </c>
      <c r="E10" t="inlineStr">
        <is>
          <t>2025-05-19</t>
        </is>
      </c>
      <c r="F10" t="inlineStr">
        <is>
          <t>2026-05-18</t>
        </is>
      </c>
      <c r="G10" t="inlineStr">
        <is>
          <t>No</t>
        </is>
      </c>
      <c r="H10" t="inlineStr">
        <is>
          <t>third-party only</t>
        </is>
      </c>
      <c r="I10" t="n">
        <v>1834.29</v>
      </c>
      <c r="J10" t="n">
        <v>28</v>
      </c>
      <c r="K10" t="inlineStr">
        <is>
          <t>Expiring Soon</t>
        </is>
      </c>
      <c r="L10" t="n">
        <v>1</v>
      </c>
      <c r="M10" t="inlineStr">
        <is>
          <t>Annual</t>
        </is>
      </c>
    </row>
    <row r="11">
      <c r="A11" t="inlineStr">
        <is>
          <t>P56HFFA0ZZK014542.pdf</t>
        </is>
      </c>
      <c r="B11" t="inlineStr">
        <is>
          <t>P56HFFA0ZZK014542</t>
        </is>
      </c>
      <c r="C11" t="inlineStr">
        <is>
          <t>Go Digit General Insurance Ltd.</t>
        </is>
      </c>
      <c r="D11" t="inlineStr">
        <is>
          <t>D202570950 / 15052025</t>
        </is>
      </c>
      <c r="E11" t="inlineStr">
        <is>
          <t>2025-05-19</t>
        </is>
      </c>
      <c r="F11" t="inlineStr">
        <is>
          <t>2026-05-18</t>
        </is>
      </c>
      <c r="G11" t="inlineStr">
        <is>
          <t>No</t>
        </is>
      </c>
      <c r="H11" t="inlineStr">
        <is>
          <t>third-party only</t>
        </is>
      </c>
      <c r="I11" t="n">
        <v>1834.29</v>
      </c>
      <c r="J11" t="n">
        <v>28</v>
      </c>
      <c r="K11" t="inlineStr">
        <is>
          <t>Expiring Soon</t>
        </is>
      </c>
      <c r="L11" t="n">
        <v>1</v>
      </c>
      <c r="M11" t="inlineStr">
        <is>
          <t>Annual</t>
        </is>
      </c>
    </row>
    <row r="12">
      <c r="A12" t="inlineStr">
        <is>
          <t>P56HFFA0HZK014507.pdf</t>
        </is>
      </c>
      <c r="B12" t="inlineStr">
        <is>
          <t>P56HFFA0HZK014507</t>
        </is>
      </c>
      <c r="C12" t="inlineStr">
        <is>
          <t>Go Digit General Insurance Ltd.</t>
        </is>
      </c>
      <c r="D12" t="inlineStr">
        <is>
          <t>D202570869 / 15052025</t>
        </is>
      </c>
      <c r="E12" t="inlineStr">
        <is>
          <t>2025-05-19</t>
        </is>
      </c>
      <c r="F12" t="inlineStr">
        <is>
          <t>2026-05-18</t>
        </is>
      </c>
      <c r="G12" t="inlineStr">
        <is>
          <t>No</t>
        </is>
      </c>
      <c r="H12" t="inlineStr">
        <is>
          <t>third-party only</t>
        </is>
      </c>
      <c r="I12" t="n">
        <v>1834.29</v>
      </c>
      <c r="J12" t="n">
        <v>28</v>
      </c>
      <c r="K12" t="inlineStr">
        <is>
          <t>Expiring Soon</t>
        </is>
      </c>
      <c r="L12" t="n">
        <v>1</v>
      </c>
      <c r="M12" t="inlineStr">
        <is>
          <t>Annual</t>
        </is>
      </c>
    </row>
    <row r="13">
      <c r="A13" t="inlineStr">
        <is>
          <t>P56HFFA0ZZK014670.pdf</t>
        </is>
      </c>
      <c r="B13" t="inlineStr">
        <is>
          <t>P56HFFA0ZZK014670</t>
        </is>
      </c>
      <c r="C13" t="inlineStr">
        <is>
          <t>Go Digit General Insurance Ltd.</t>
        </is>
      </c>
      <c r="D13" t="inlineStr">
        <is>
          <t>D202570964 / 15052025</t>
        </is>
      </c>
      <c r="E13" t="inlineStr">
        <is>
          <t>2025-05-19</t>
        </is>
      </c>
      <c r="F13" t="inlineStr">
        <is>
          <t>2026-05-18</t>
        </is>
      </c>
      <c r="G13" t="inlineStr">
        <is>
          <t>No</t>
        </is>
      </c>
      <c r="H13" t="inlineStr">
        <is>
          <t>third-party only</t>
        </is>
      </c>
      <c r="I13" t="n">
        <v>1834.29</v>
      </c>
      <c r="J13" t="n">
        <v>28</v>
      </c>
      <c r="K13" t="inlineStr">
        <is>
          <t>Expiring Soon</t>
        </is>
      </c>
      <c r="L13" t="n">
        <v>1</v>
      </c>
      <c r="M13" t="inlineStr">
        <is>
          <t>Annual</t>
        </is>
      </c>
    </row>
    <row r="14">
      <c r="A14" t="inlineStr">
        <is>
          <t>P56HFFA0ZZK014553.pdf</t>
        </is>
      </c>
      <c r="B14" t="inlineStr">
        <is>
          <t>P56HFFA0ZZK014553</t>
        </is>
      </c>
      <c r="C14" t="inlineStr">
        <is>
          <t>Go Digit General Insurance Ltd.</t>
        </is>
      </c>
      <c r="D14" t="inlineStr">
        <is>
          <t>D202570954 / 15052025</t>
        </is>
      </c>
      <c r="E14" t="inlineStr">
        <is>
          <t>2025-05-19</t>
        </is>
      </c>
      <c r="F14" t="inlineStr">
        <is>
          <t>2026-05-18</t>
        </is>
      </c>
      <c r="G14" t="inlineStr">
        <is>
          <t>No</t>
        </is>
      </c>
      <c r="H14" t="inlineStr">
        <is>
          <t>third-party only</t>
        </is>
      </c>
      <c r="I14" t="n">
        <v>1834.29</v>
      </c>
      <c r="J14" t="n">
        <v>28</v>
      </c>
      <c r="K14" t="inlineStr">
        <is>
          <t>Expiring Soon</t>
        </is>
      </c>
      <c r="L14" t="n">
        <v>1</v>
      </c>
      <c r="M14" t="inlineStr">
        <is>
          <t>Annual</t>
        </is>
      </c>
    </row>
  </sheetData>
  <autoFilter ref="A1:M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status</t>
        </is>
      </c>
      <c r="B1" s="13" t="inlineStr">
        <is>
          <t>policies</t>
        </is>
      </c>
      <c r="C1" s="13" t="inlineStr">
        <is>
          <t>total_premium</t>
        </is>
      </c>
    </row>
    <row r="2">
      <c r="A2" t="inlineStr">
        <is>
          <t>Active</t>
        </is>
      </c>
      <c r="B2" t="n">
        <v>302</v>
      </c>
      <c r="C2" t="n">
        <v>1404163</v>
      </c>
    </row>
    <row r="3">
      <c r="A3" t="inlineStr">
        <is>
          <t>Expiring Soon</t>
        </is>
      </c>
      <c r="B3" t="n">
        <v>13</v>
      </c>
      <c r="C3" t="n">
        <v>39458.31</v>
      </c>
    </row>
  </sheetData>
  <autoFilter ref="A1: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insurance_company_name</t>
        </is>
      </c>
      <c r="B1" s="13" t="inlineStr">
        <is>
          <t>policies</t>
        </is>
      </c>
      <c r="C1" s="13" t="inlineStr">
        <is>
          <t>total_premium</t>
        </is>
      </c>
      <c r="D1" s="13" t="inlineStr">
        <is>
          <t>avg_premium</t>
        </is>
      </c>
    </row>
    <row r="2">
      <c r="A2" t="inlineStr">
        <is>
          <t>Royal Sundaram General Insurance Co. Limited</t>
        </is>
      </c>
      <c r="B2" t="n">
        <v>128</v>
      </c>
      <c r="C2" t="n">
        <v>878490.5600000001</v>
      </c>
      <c r="D2" t="n">
        <v>6863.2075</v>
      </c>
    </row>
    <row r="3">
      <c r="A3" t="inlineStr">
        <is>
          <t>Go Digit General Insurance Ltd.</t>
        </is>
      </c>
      <c r="B3" t="n">
        <v>76</v>
      </c>
      <c r="C3" t="n">
        <v>124647.75</v>
      </c>
      <c r="D3" t="n">
        <v>1640.101973684211</v>
      </c>
    </row>
    <row r="4">
      <c r="A4" t="inlineStr">
        <is>
          <t>ICICI Lombard General Insurance Company Limited</t>
        </is>
      </c>
      <c r="B4" t="n">
        <v>54</v>
      </c>
      <c r="C4" t="n">
        <v>216749</v>
      </c>
      <c r="D4" t="n">
        <v>4013.87037037037</v>
      </c>
    </row>
    <row r="5">
      <c r="A5" t="inlineStr">
        <is>
          <t>National Insurance Company Limited</t>
        </is>
      </c>
      <c r="B5" t="n">
        <v>36</v>
      </c>
      <c r="C5" t="n">
        <v>121069</v>
      </c>
      <c r="D5" t="n">
        <v>3363.027777777778</v>
      </c>
    </row>
    <row r="6">
      <c r="A6" t="inlineStr">
        <is>
          <t>The New India Assurance Co. Ltd.</t>
        </is>
      </c>
      <c r="B6" t="n">
        <v>9</v>
      </c>
      <c r="C6" t="n">
        <v>50050</v>
      </c>
      <c r="D6" t="n">
        <v>5561.111111111111</v>
      </c>
    </row>
    <row r="7">
      <c r="A7" t="inlineStr">
        <is>
          <t>National Insurance Co. Ltd.</t>
        </is>
      </c>
      <c r="B7" t="n">
        <v>7</v>
      </c>
      <c r="C7" t="n">
        <v>23317</v>
      </c>
      <c r="D7" t="n">
        <v>3331</v>
      </c>
    </row>
    <row r="8">
      <c r="A8" t="inlineStr">
        <is>
          <t>UNITED INDIA INSURANCE COMPANY LIMITED</t>
        </is>
      </c>
      <c r="B8" t="n">
        <v>4</v>
      </c>
      <c r="C8" t="n">
        <v>22308</v>
      </c>
      <c r="D8" t="n">
        <v>5577</v>
      </c>
    </row>
    <row r="9">
      <c r="A9" t="inlineStr">
        <is>
          <t>Magma General Insurance Limited</t>
        </is>
      </c>
      <c r="B9" t="n">
        <v>1</v>
      </c>
      <c r="C9" t="n">
        <v>6990</v>
      </c>
      <c r="D9" t="n">
        <v>6990</v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policy_type</t>
        </is>
      </c>
      <c r="B1" s="13" t="inlineStr">
        <is>
          <t>policy_duration</t>
        </is>
      </c>
      <c r="C1" s="13" t="inlineStr">
        <is>
          <t>policies</t>
        </is>
      </c>
      <c r="D1" s="13" t="inlineStr">
        <is>
          <t>total_premium</t>
        </is>
      </c>
    </row>
    <row r="2">
      <c r="A2" t="inlineStr">
        <is>
          <t>Annual</t>
        </is>
      </c>
      <c r="B2" t="n">
        <v>1</v>
      </c>
      <c r="C2" t="n">
        <v>306</v>
      </c>
      <c r="D2" t="n">
        <v>1394705.77</v>
      </c>
    </row>
    <row r="3">
      <c r="A3" t="inlineStr">
        <is>
          <t>Multi-Year</t>
        </is>
      </c>
      <c r="B3" t="n">
        <v>5</v>
      </c>
      <c r="C3" t="n">
        <v>9</v>
      </c>
      <c r="D3" t="n">
        <v>48915.54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expiry_month</t>
        </is>
      </c>
      <c r="B1" s="13" t="inlineStr">
        <is>
          <t>policies</t>
        </is>
      </c>
    </row>
    <row r="2">
      <c r="A2" t="inlineStr">
        <is>
          <t>2026-05</t>
        </is>
      </c>
      <c r="B2" t="n">
        <v>20</v>
      </c>
    </row>
    <row r="3">
      <c r="A3" t="inlineStr">
        <is>
          <t>2026-06</t>
        </is>
      </c>
      <c r="B3" t="n">
        <v>4</v>
      </c>
    </row>
    <row r="4">
      <c r="A4" t="inlineStr">
        <is>
          <t>2026-07</t>
        </is>
      </c>
      <c r="B4" t="n">
        <v>10</v>
      </c>
    </row>
    <row r="5">
      <c r="A5" t="inlineStr">
        <is>
          <t>2026-08</t>
        </is>
      </c>
      <c r="B5" t="n">
        <v>59</v>
      </c>
    </row>
    <row r="6">
      <c r="A6" t="inlineStr">
        <is>
          <t>2026-09</t>
        </is>
      </c>
      <c r="B6" t="n">
        <v>75</v>
      </c>
    </row>
    <row r="7">
      <c r="A7" t="inlineStr">
        <is>
          <t>2026-10</t>
        </is>
      </c>
      <c r="B7" t="n">
        <v>1</v>
      </c>
    </row>
    <row r="8">
      <c r="A8" t="inlineStr">
        <is>
          <t>2026-11</t>
        </is>
      </c>
      <c r="B8" t="n">
        <v>2</v>
      </c>
    </row>
    <row r="9">
      <c r="A9" t="inlineStr">
        <is>
          <t>2026-12</t>
        </is>
      </c>
      <c r="B9" t="n">
        <v>5</v>
      </c>
    </row>
    <row r="10">
      <c r="A10" t="inlineStr">
        <is>
          <t>2027-01</t>
        </is>
      </c>
      <c r="B10" t="n">
        <v>34</v>
      </c>
    </row>
    <row r="11">
      <c r="A11" t="inlineStr">
        <is>
          <t>2027-02</t>
        </is>
      </c>
      <c r="B11" t="n">
        <v>24</v>
      </c>
    </row>
    <row r="12">
      <c r="A12" t="inlineStr">
        <is>
          <t>2027-03</t>
        </is>
      </c>
      <c r="B12" t="n">
        <v>71</v>
      </c>
    </row>
    <row r="13">
      <c r="A13" t="inlineStr">
        <is>
          <t>2027-05</t>
        </is>
      </c>
      <c r="B13" t="n">
        <v>1</v>
      </c>
    </row>
    <row r="14">
      <c r="A14" t="inlineStr">
        <is>
          <t>2030-05</t>
        </is>
      </c>
      <c r="B14" t="n">
        <v>9</v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2026-04-26T12:43:20Z</dcterms:created>
  <dcterms:modified xsi:type="dcterms:W3CDTF">2026-04-26T12:43:20Z</dcterms:modified>
</cp:coreProperties>
</file>